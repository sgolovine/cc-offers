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8653e51cb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8113094ccc45fe"/>
    <x:sheet xmlns:r="http://schemas.openxmlformats.org/officeDocument/2006/relationships" name="Institutions" sheetId="2" r:id="R810a3bc0d4f949d0"/>
    <x:sheet xmlns:r="http://schemas.openxmlformats.org/officeDocument/2006/relationships" name="Sources" sheetId="3" r:id="R0f046e18aa974e7f"/>
    <x:sheet xmlns:r="http://schemas.openxmlformats.org/officeDocument/2006/relationships" name="Browser Checks" sheetId="4" r:id="Rfebbb857b523499f"/>
    <x:sheet xmlns:r="http://schemas.openxmlformats.org/officeDocument/2006/relationships" name="Scope Notes" sheetId="5" r:id="R05d1b991d115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3"/>
      <x:color rgb="FF111827"/>
      <x:name val="Carlito"/>
    </x:font>
    <x:font>
      <x:sz val="11"/>
      <x:color rgb="FF7C2D12"/>
      <x:name val="Carlito"/>
    </x:font>
    <x:font>
      <x:b/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B3A4B"/>
      </x:patternFill>
    </x:fill>
    <x:fill>
      <x:patternFill patternType="solid">
        <x:fgColor rgb="FFEAF1F5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16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horizontal="center"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4532D"/>
      </x:font>
      <x:fill>
        <x:patternFill patternType="solid">
          <x:bgColor rgb="FFDCFCE7"/>
        </x:patternFill>
      </x:fill>
    </x:dxf>
    <x:dxf>
      <x:font>
        <x:color rgb="FF475569"/>
      </x:font>
      <x:fill>
        <x:patternFill patternType="solid">
          <x:bgColor rgb="FFF8FAFC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ee4eb59694669" /><Relationship Type="http://schemas.openxmlformats.org/officeDocument/2006/relationships/theme" Target="/xl/theme/theme1.xml" Id="Re29fb6b7abda4331" /><Relationship Type="http://schemas.openxmlformats.org/officeDocument/2006/relationships/sharedStrings" Target="/xl/sharedStrings.xml" Id="Ra2d746fd2feb43bf" /><Relationship Type="http://schemas.openxmlformats.org/officeDocument/2006/relationships/worksheet" Target="/xl/worksheets/sheet1.xml" Id="R428113094ccc45fe" /><Relationship Type="http://schemas.openxmlformats.org/officeDocument/2006/relationships/worksheet" Target="/xl/worksheets/sheet2.xml" Id="R810a3bc0d4f949d0" /><Relationship Type="http://schemas.openxmlformats.org/officeDocument/2006/relationships/worksheet" Target="/xl/worksheets/sheet3.xml" Id="R0f046e18aa974e7f" /><Relationship Type="http://schemas.openxmlformats.org/officeDocument/2006/relationships/worksheet" Target="/xl/worksheets/sheet4.xml" Id="Rfebbb857b523499f" /><Relationship Type="http://schemas.openxmlformats.org/officeDocument/2006/relationships/worksheet" Target="/xl/worksheets/sheet5.xml" Id="R05d1b991d1154a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5eafe46c8747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Rows by Institution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'Summary'!$A$9:$A$15</c:f>
              <c:strCache>
                <c:ptCount val="0"/>
              </c:strCache>
            </c:strRef>
          </c:cat>
          <c:val>
            <c:numRef>
              <c:f>'Summary'!$B$9:$B$15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eafe46c8747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itutionTargets" displayName="InstitutionTargets" ref="A1:L127" headerRowCount="1">
  <x:tableColumns count="12">
    <x:tableColumn id="1" name="Institution"/>
    <x:tableColumn id="2" name="Institution Type"/>
    <x:tableColumn id="3" name="Role"/>
    <x:tableColumn id="4" name="Known Issuer / Partner"/>
    <x:tableColumn id="5" name="Known Rewards Card Examples"/>
    <x:tableColumn id="6" name="Offer Research URL"/>
    <x:tableColumn id="7" name="Alternate / Issuer URL"/>
    <x:tableColumn id="8" name="Source Basis"/>
    <x:tableColumn id="9" name="Past-Year / Current Signal"/>
    <x:tableColumn id="10" name="Priority"/>
    <x:tableColumn id="11" name="Retrieved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stitutionSources" displayName="InstitutionSources" ref="A1:E127" headerRowCount="1">
  <x:tableColumns count="5">
    <x:tableColumn id="1" name="Institution"/>
    <x:tableColumn id="2" name="Primary Source URL"/>
    <x:tableColumn id="3" name="Alternate URL"/>
    <x:tableColumn id="4" name="Source Basis"/>
    <x:tableColumn id="5" name="Use Notes"/>
  </x:tableColumns>
  <x:tableStyleInfo name="TableStyleMedium2" showRowStripes="1"/>
</x:table>
</file>

<file path=xl/tables/table3.xml><?xml version="1.0" encoding="utf-8"?>
<x:table xmlns:x="http://schemas.openxmlformats.org/spreadsheetml/2006/main" id="3" name="BrowserChecks" displayName="BrowserChecks" ref="A1:E13" headerRowCount="1">
  <x:tableColumns count="5">
    <x:tableColumn id="1" name="Institution"/>
    <x:tableColumn id="2" name="URL"/>
    <x:tableColumn id="3" name="Observed Page Title"/>
    <x:tableColumn id="4" name="Browser Research Note"/>
    <x:tableColumn id="5" name="Retrieved"/>
  </x:tableColumns>
  <x:tableStyleInfo name="TableStyleMedium2" showRowStripes="1"/>
</x:table>
</file>

<file path=xl/tables/table4.xml><?xml version="1.0" encoding="utf-8"?>
<x:table xmlns:x="http://schemas.openxmlformats.org/spreadsheetml/2006/main" id="4" name="ScopeNotes" displayName="ScopeNotes" ref="A1:B9" headerRowCount="1">
  <x:tableColumns count="2">
    <x:tableColumn id="1" name="Topic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08e22c5a694a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0bcb517de41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de8f406554e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ff6cf39d5f42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008994747347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5" hidden="0" customWidth="1"/>
    <x:col min="3" max="3" width="15" hidden="0" customWidth="1"/>
    <x:col min="4" max="4" width="6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25.5" customHeight="1">
      <x:c r="A1" s="4" t="str">
        <x:v>Rewards Credit Card Institution Targets</x:v>
      </x:c>
      <x:c r="B1" s="4" t="str">
        <x:v>Rewards Credit Card Institution Targets</x:v>
      </x:c>
      <x:c r="C1" s="4" t="str">
        <x:v>Rewards Credit Card Institution Targets</x:v>
      </x:c>
      <x:c r="D1" s="4" t="str">
        <x:v>Rewards Credit Card Institution Targets</x:v>
      </x:c>
      <x:c r="E1" s="4" t="str">
        <x:v>Rewards Credit Card Institution Targets</x:v>
      </x:c>
      <x:c r="F1" s="4" t="str">
        <x:v>Rewards Credit Card Institution Targets</x:v>
      </x:c>
      <x:c r="G1" s="4" t="str">
        <x:v>Rewards Credit Card Institution Targets</x:v>
      </x:c>
      <x:c r="H1" s="4" t="str">
        <x:v>Rewards Credit Card Institution Targets</x:v>
      </x:c>
      <x:c r="I1" s="4" t="str">
        <x:v>Rewards Credit Card Institution Targets</x:v>
      </x:c>
      <x:c r="J1" s="4" t="str">
        <x:v>Rewards Credit Card Institution Targets</x:v>
      </x:c>
      <x:c r="K1" s="4" t="str">
        <x:v>Rewards Credit Card Institution Targets</x:v>
      </x:c>
    </x:row>
    <x:row r="2" ht="31.5" customHeight="1">
      <x:c r="A2" s="8" t="str">
        <x:v>Institution/source directory researched on 2026-05-30. This is not an offer scrape; use the Institutions tab to route follow-up agents to official offer pages.</x:v>
      </x:c>
      <x:c r="B2" s="8" t="str">
        <x:v>Institution/source directory researched on 2026-05-30. This is not an offer scrape; use the Institutions tab to route follow-up agents to official offer pages.</x:v>
      </x:c>
      <x:c r="C2" s="8" t="str">
        <x:v>Institution/source directory researched on 2026-05-30. This is not an offer scrape; use the Institutions tab to route follow-up agents to official offer pages.</x:v>
      </x:c>
      <x:c r="D2" s="8" t="str">
        <x:v>Institution/source directory researched on 2026-05-30. This is not an offer scrape; use the Institutions tab to route follow-up agents to official offer pages.</x:v>
      </x:c>
      <x:c r="E2" s="8" t="str">
        <x:v>Institution/source directory researched on 2026-05-30. This is not an offer scrape; use the Institutions tab to route follow-up agents to official offer pages.</x:v>
      </x:c>
      <x:c r="F2" s="8" t="str">
        <x:v>Institution/source directory researched on 2026-05-30. This is not an offer scrape; use the Institutions tab to route follow-up agents to official offer pages.</x:v>
      </x:c>
      <x:c r="G2" s="8" t="str">
        <x:v>Institution/source directory researched on 2026-05-30. This is not an offer scrape; use the Institutions tab to route follow-up agents to official offer pages.</x:v>
      </x:c>
      <x:c r="H2" s="8" t="str">
        <x:v>Institution/source directory researched on 2026-05-30. This is not an offer scrape; use the Institutions tab to route follow-up agents to official offer pages.</x:v>
      </x:c>
      <x:c r="I2" s="8" t="str">
        <x:v>Institution/source directory researched on 2026-05-30. This is not an offer scrape; use the Institutions tab to route follow-up agents to official offer pages.</x:v>
      </x:c>
      <x:c r="J2" s="8" t="str">
        <x:v>Institution/source directory researched on 2026-05-30. This is not an offer scrape; use the Institutions tab to route follow-up agents to official offer pages.</x:v>
      </x:c>
      <x:c r="K2" s="8" t="str">
        <x:v>Institution/source directory researched on 2026-05-30. This is not an offer scrape; use the Institutions tab to route follow-up agents to official offer pages.</x:v>
      </x:c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</x:row>
    <x:row r="4">
      <x:c r="A4" s="56" t="str">
        <x:v>Institution Rows</x:v>
      </x:c>
      <x:c r="B4" s="57" t="str">
        <x:v>Unique Categories</x:v>
      </x:c>
      <x:c r="C4" s="57" t="str">
        <x:v>High Priority Rows</x:v>
      </x:c>
      <x:c r="D4" s="57" t="str">
        <x:v>Primary Source URLs</x:v>
      </x:c>
      <x:c r="E4" s="58" t="str">
        <x:v>Browser-Checked Hubs</x:v>
      </x:c>
      <x:c r="F4" s="55"/>
      <x:c r="G4" s="55"/>
      <x:c r="H4" s="55"/>
      <x:c r="I4" s="55"/>
      <x:c r="J4" s="55"/>
      <x:c r="K4" s="55"/>
    </x:row>
    <x:row r="5">
      <x:c r="A5" s="59" t="n">
        <x:f>COUNTA(Institutions!A2:A500)</x:f>
        <x:v>126</x:v>
      </x:c>
      <x:c r="B5" s="60" t="n">
        <x:f>COUNTA(UNIQUE(FILTER(Institutions!B2:B500,Institutions!B2:B500&lt;&gt;"")))</x:f>
        <x:v>7</x:v>
      </x:c>
      <x:c r="C5" s="60" t="n">
        <x:f>COUNTIF(Institutions!J2:J500,"High")</x:f>
        <x:v>35</x:v>
      </x:c>
      <x:c r="D5" s="60" t="n">
        <x:f>COUNTA(Sources!B2:B500)</x:f>
        <x:v>126</x:v>
      </x:c>
      <x:c r="E5" s="61" t="n">
        <x:f>COUNTA('Browser Checks'!A2:A100)</x:f>
        <x:v>12</x:v>
      </x:c>
      <x:c r="F5" s="55"/>
      <x:c r="G5" s="55"/>
      <x:c r="H5" s="55"/>
      <x:c r="I5" s="55"/>
      <x:c r="J5" s="55"/>
      <x:c r="K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</x:row>
    <x:row r="8">
      <x:c r="A8" s="45" t="str">
        <x:v>Institution Type</x:v>
      </x:c>
      <x:c r="B8" s="46" t="str">
        <x:v>Rows</x:v>
      </x:c>
      <x:c r="C8" s="46" t="str">
        <x:v>High Priority</x:v>
      </x:c>
      <x:c r="D8" s="47" t="str">
        <x:v>Research Routing Notes</x:v>
      </x:c>
      <x:c r="E8" s="55"/>
      <x:c r="F8" s="55"/>
      <x:c r="G8" s="55"/>
      <x:c r="H8" s="55"/>
      <x:c r="I8" s="55"/>
      <x:c r="J8" s="55"/>
      <x:c r="K8" s="55"/>
    </x:row>
    <x:row r="9">
      <x:c r="A9" s="62" t="str">
        <x:v>Airline/Rail</x:v>
      </x:c>
      <x:c r="B9" s="63" t="n">
        <x:f>COUNTIF(Institutions!B$2:B$500,A9)</x:f>
        <x:v>27</x:v>
      </x:c>
      <x:c r="C9" s="63" t="n">
        <x:f>COUNTIFS(Institutions!B$2:B$500,A9,Institutions!J$2:J$500,"High")</x:f>
        <x:v>7</x:v>
      </x:c>
      <x:c r="D9" s="34" t="str">
        <x:v>Start from loyalty-program pages, then issuer mirrors.</x:v>
      </x:c>
      <x:c r="E9" s="55"/>
      <x:c r="F9" s="55"/>
      <x:c r="G9" s="55"/>
      <x:c r="H9" s="55"/>
      <x:c r="I9" s="55"/>
      <x:c r="J9" s="55"/>
      <x:c r="K9" s="55"/>
    </x:row>
    <x:row r="10">
      <x:c r="A10" s="62" t="str">
        <x:v>Auto/Mobility/Entertainment</x:v>
      </x:c>
      <x:c r="B10" s="63" t="n">
        <x:f>COUNTIF(Institutions!B$2:B$500,A10)</x:f>
        <x:v>6</x:v>
      </x:c>
      <x:c r="C10" s="63" t="n">
        <x:f>COUNTIFS(Institutions!B$2:B$500,A10,Institutions!J$2:J$500,"High")</x:f>
        <x:v>0</x:v>
      </x:c>
      <x:c r="D10" s="34" t="str">
        <x:v>Validate application availability; some are niche/past-year targets.</x:v>
      </x:c>
      <x:c r="E10" s="55"/>
      <x:c r="F10" s="55"/>
      <x:c r="G10" s="55"/>
      <x:c r="H10" s="55"/>
      <x:c r="I10" s="55"/>
      <x:c r="J10" s="55"/>
      <x:c r="K10" s="55"/>
    </x:row>
    <x:row r="11">
      <x:c r="A11" s="62" t="str">
        <x:v>Bank/Card Issuer</x:v>
      </x:c>
      <x:c r="B11" s="63" t="n">
        <x:f>COUNTIF(Institutions!B$2:B$500,A11)</x:f>
        <x:v>30</x:v>
      </x:c>
      <x:c r="C11" s="63" t="n">
        <x:f>COUNTIFS(Institutions!B$2:B$500,A11,Institutions!J$2:J$500,"High")</x:f>
        <x:v>13</x:v>
      </x:c>
      <x:c r="D11" s="34" t="str">
        <x:v>Use as source hubs for bank-branded and co-branded card discovery.</x:v>
      </x:c>
      <x:c r="E11" s="55"/>
      <x:c r="F11" s="55"/>
      <x:c r="G11" s="55"/>
      <x:c r="H11" s="55"/>
      <x:c r="I11" s="55"/>
      <x:c r="J11" s="55"/>
      <x:c r="K11" s="55"/>
    </x:row>
    <x:row r="12">
      <x:c r="A12" s="62" t="str">
        <x:v>Financial/Technology/Other</x:v>
      </x:c>
      <x:c r="B12" s="63" t="n">
        <x:f>COUNTIF(Institutions!B$2:B$500,A12)</x:f>
        <x:v>10</x:v>
      </x:c>
      <x:c r="C12" s="63" t="n">
        <x:f>COUNTIFS(Institutions!B$2:B$500,A12,Institutions!J$2:J$500,"High")</x:f>
        <x:v>4</x:v>
      </x:c>
      <x:c r="D12" s="34" t="str">
        <x:v>Watch membership/waitlist and issuer-transition language.</x:v>
      </x:c>
      <x:c r="E12" s="55"/>
      <x:c r="F12" s="55"/>
      <x:c r="G12" s="55"/>
      <x:c r="H12" s="55"/>
      <x:c r="I12" s="55"/>
      <x:c r="J12" s="55"/>
      <x:c r="K12" s="55"/>
    </x:row>
    <x:row r="13">
      <x:c r="A13" s="62" t="str">
        <x:v>Grocery/Warehouse/Food Delivery</x:v>
      </x:c>
      <x:c r="B13" s="63" t="n">
        <x:f>COUNTIF(Institutions!B$2:B$500,A13)</x:f>
        <x:v>13</x:v>
      </x:c>
      <x:c r="C13" s="63" t="n">
        <x:f>COUNTIFS(Institutions!B$2:B$500,A13,Institutions!J$2:J$500,"High")</x:f>
        <x:v>7</x:v>
      </x:c>
      <x:c r="D13" s="34" t="str">
        <x:v>Prioritize Costco, Sam's Club, BJ's, Kroger family, Target, Amazon, Instacart.</x:v>
      </x:c>
      <x:c r="E13" s="55"/>
      <x:c r="F13" s="55"/>
      <x:c r="G13" s="55"/>
      <x:c r="H13" s="55"/>
      <x:c r="I13" s="55"/>
      <x:c r="J13" s="55"/>
      <x:c r="K13" s="55"/>
    </x:row>
    <x:row r="14">
      <x:c r="A14" s="62" t="str">
        <x:v>Hotel/Travel/Lodging</x:v>
      </x:c>
      <x:c r="B14" s="63" t="n">
        <x:f>COUNTIF(Institutions!B$2:B$500,A14)</x:f>
        <x:v>18</x:v>
      </x:c>
      <x:c r="C14" s="63" t="n">
        <x:f>COUNTIFS(Institutions!B$2:B$500,A14,Institutions!J$2:J$500,"High")</x:f>
        <x:v>4</x:v>
      </x:c>
      <x:c r="D14" s="34" t="str">
        <x:v>Split hotel, cruise, theme park, and travel marketplace rows when scraping offers.</x:v>
      </x:c>
      <x:c r="E14" s="55"/>
      <x:c r="F14" s="55"/>
      <x:c r="G14" s="55"/>
      <x:c r="H14" s="55"/>
      <x:c r="I14" s="55"/>
      <x:c r="J14" s="55"/>
      <x:c r="K14" s="55"/>
    </x:row>
    <x:row r="15">
      <x:c r="A15" s="65" t="str">
        <x:v>Retail/Ecommerce</x:v>
      </x:c>
      <x:c r="B15" s="66" t="n">
        <x:f>COUNTIF(Institutions!B$2:B$500,A15)</x:f>
        <x:v>22</x:v>
      </x:c>
      <x:c r="C15" s="66" t="n">
        <x:f>COUNTIFS(Institutions!B$2:B$500,A15,Institutions!J$2:J$500,"High")</x:f>
        <x:v>0</x:v>
      </x:c>
      <x:c r="D15" s="37" t="str">
        <x:v>Private-label portfolios are large; direct brand pages reduce false positives.</x:v>
      </x:c>
      <x:c r="E15" s="55"/>
      <x:c r="F15" s="55"/>
      <x:c r="G15" s="55"/>
      <x:c r="H15" s="55"/>
      <x:c r="I15" s="55"/>
      <x:c r="J15" s="55"/>
      <x:c r="K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40.5" customHeight="1">
      <x:c r="A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B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C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D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E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F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G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H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I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J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K21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</x:row>
    <x:row r="22" ht="40.5" customHeight="1">
      <x:c r="A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B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C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D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E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F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G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H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I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J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  <x:c r="K22" s="68" t="str">
        <x:v>Handoff reminder: this workbook intentionally identifies institutions and official research starting points only. Downstream agents must separately confirm current offers, eligibility, fees, APRs, reward rates, and application availability.</x:v>
      </x:c>
    </x:row>
  </x:sheetData>
  <x:mergeCells>
    <x:mergeCell ref="A1:K1"/>
    <x:mergeCell ref="A2:K2"/>
    <x:mergeCell ref="A21:K22"/>
  </x:mergeCells>
  <x:pageMargins left="0.7" right="0.7" top="0.75" bottom="0.75" header="0.3" footer="0.3"/>
  <x:drawing xmlns:r="http://schemas.openxmlformats.org/officeDocument/2006/relationships" r:id="R5f08e22c5a694a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1299991607666" hidden="0" customWidth="1"/>
    <x:col min="3" max="3" width="26.25" hidden="0" customWidth="1"/>
    <x:col min="4" max="4" width="28.75" hidden="0" customWidth="1"/>
    <x:col min="5" max="5" width="45" hidden="0" customWidth="1"/>
    <x:col min="6" max="6" width="41.25" hidden="0" customWidth="1"/>
    <x:col min="7" max="7" width="41.25" hidden="0" customWidth="1"/>
    <x:col min="8" max="8" width="40" hidden="0" customWidth="1"/>
    <x:col min="9" max="9" width="32.5" hidden="0" customWidth="1"/>
    <x:col min="10" max="10" width="11.880000114440918" hidden="0" customWidth="1"/>
    <x:col min="11" max="11" width="12.5" hidden="0" customWidth="1"/>
    <x:col min="12" max="12" width="41.25" hidden="0" customWidth="1"/>
  </x:cols>
  <x:sheetData>
    <x:row r="1">
      <x:c r="A1" s="45" t="str">
        <x:v>Institution</x:v>
      </x:c>
      <x:c r="B1" s="46" t="str">
        <x:v>Institution Type</x:v>
      </x:c>
      <x:c r="C1" s="46" t="str">
        <x:v>Role</x:v>
      </x:c>
      <x:c r="D1" s="46" t="str">
        <x:v>Known Issuer / Partner</x:v>
      </x:c>
      <x:c r="E1" s="46" t="str">
        <x:v>Known Rewards Card Examples</x:v>
      </x:c>
      <x:c r="F1" s="46" t="str">
        <x:v>Offer Research URL</x:v>
      </x:c>
      <x:c r="G1" s="46" t="str">
        <x:v>Alternate / Issuer URL</x:v>
      </x:c>
      <x:c r="H1" s="46" t="str">
        <x:v>Source Basis</x:v>
      </x:c>
      <x:c r="I1" s="46" t="str">
        <x:v>Past-Year / Current Signal</x:v>
      </x:c>
      <x:c r="J1" s="46" t="str">
        <x:v>Priority</x:v>
      </x:c>
      <x:c r="K1" s="46" t="str">
        <x:v>Retrieved</x:v>
      </x:c>
      <x:c r="L1" s="47" t="str">
        <x:v>Notes</x:v>
      </x:c>
    </x:row>
    <x:row r="2">
      <x:c r="A2" s="48" t="str">
        <x:v>JPMorgan Chase</x:v>
      </x:c>
      <x:c r="B2" s="49" t="str">
        <x:v>Bank/Card Issuer</x:v>
      </x:c>
      <x:c r="C2" s="49" t="str">
        <x:v>Primary issuer and co-brand issuer</x:v>
      </x:c>
      <x:c r="D2" s="49" t="str">
        <x:v>JPMorgan Chase Bank, N.A.</x:v>
      </x:c>
      <x:c r="E2" s="49" t="str">
        <x:v>Chase Sapphire, Freedom, Ink, United, Southwest, Marriott Bonvoy, IHG, World of Hyatt, Amazon, Instacart, DoorDash</x:v>
      </x:c>
      <x:c r="F2" s="49" t="str">
        <x:v>https://creditcards.chase.com/all-credit-cards</x:v>
      </x:c>
      <x:c r="G2" s="49" t="str">
        <x:v>https://creditcards.chase.com/newest-offers-credit-cards</x:v>
      </x:c>
      <x:c r="H2" s="49" t="str">
        <x:v>Official Chase all-cards and newest-offers pages; browser title confirmed.</x:v>
      </x:c>
      <x:c r="I2" s="49" t="str">
        <x:v>Current public issuer listing with offer paths</x:v>
      </x:c>
      <x:c r="J2" s="49" t="str">
        <x:v>High</x:v>
      </x:c>
      <x:c r="K2" s="49" t="str">
        <x:v>2026-05-30</x:v>
      </x:c>
      <x:c r="L2" s="50" t="str">
        <x:v>Core issuer hub; downstream agents should use category and brand pages for co-brand filters.</x:v>
      </x:c>
    </x:row>
    <x:row r="3">
      <x:c r="A3" s="48" t="str">
        <x:v>American Express</x:v>
      </x:c>
      <x:c r="B3" s="49" t="str">
        <x:v>Bank/Card Issuer</x:v>
      </x:c>
      <x:c r="C3" s="49" t="str">
        <x:v>Issuer, network, and co-brand issuer</x:v>
      </x:c>
      <x:c r="D3" s="49" t="str">
        <x:v>American Express National Bank</x:v>
      </x:c>
      <x:c r="E3" s="49" t="str">
        <x:v>Membership Rewards, Blue Cash, Delta SkyMiles, Hilton Honors, Marriott Bonvoy, business cards</x:v>
      </x:c>
      <x:c r="F3" s="49" t="str">
        <x:v>https://www.americanexpress.com/us/credit-cards/</x:v>
      </x:c>
      <x:c r="G3" s="49" t="str">
        <x:v>https://www.americanexpress.com/us/credit-cards/category/travel-rewards/</x:v>
      </x:c>
      <x:c r="H3" s="49" t="str">
        <x:v>Official American Express credit card listing; browser title confirmed.</x:v>
      </x:c>
      <x:c r="I3" s="49" t="str">
        <x:v>Current public issuer listing with personalized-offer paths</x:v>
      </x:c>
      <x:c r="J3" s="49" t="str">
        <x:v>High</x:v>
      </x:c>
      <x:c r="K3" s="49" t="str">
        <x:v>2026-05-30</x:v>
      </x:c>
      <x:c r="L3" s="50" t="str">
        <x:v>Amex often personalizes welcome-offer language; agents should capture channel and application path.</x:v>
      </x:c>
    </x:row>
    <x:row r="4">
      <x:c r="A4" s="48" t="str">
        <x:v>Citi</x:v>
      </x:c>
      <x:c r="B4" s="49" t="str">
        <x:v>Bank/Card Issuer</x:v>
      </x:c>
      <x:c r="C4" s="49" t="str">
        <x:v>Primary issuer and co-brand issuer</x:v>
      </x:c>
      <x:c r="D4" s="49" t="str">
        <x:v>Citibank, N.A.</x:v>
      </x:c>
      <x:c r="E4" s="49" t="str">
        <x:v>Citi Strata, Double Cash, Custom Cash, Costco Anywhere, American Airlines AAdvantage, Best Buy, Macy's</x:v>
      </x:c>
      <x:c r="F4" s="49" t="str">
        <x:v>https://www.citi.com/credit-cards/view-all-credit-cards</x:v>
      </x:c>
      <x:c r="G4" s="49" t="str">
        <x:v>https://www.citi.com/credit-cards</x:v>
      </x:c>
      <x:c r="H4" s="49" t="str">
        <x:v>Official Citi all-cards page; browser title confirmed.</x:v>
      </x:c>
      <x:c r="I4" s="49" t="str">
        <x:v>Current public issuer listing</x:v>
      </x:c>
      <x:c r="J4" s="49" t="str">
        <x:v>High</x:v>
      </x:c>
      <x:c r="K4" s="49" t="str">
        <x:v>2026-05-30</x:v>
      </x:c>
      <x:c r="L4" s="50" t="str">
        <x:v>Citi has both bank-branded and retail/co-brand portfolios.</x:v>
      </x:c>
    </x:row>
    <x:row r="5">
      <x:c r="A5" s="48" t="str">
        <x:v>Capital One</x:v>
      </x:c>
      <x:c r="B5" s="49" t="str">
        <x:v>Bank/Card Issuer</x:v>
      </x:c>
      <x:c r="C5" s="49" t="str">
        <x:v>Primary issuer and co-brand issuer</x:v>
      </x:c>
      <x:c r="D5" s="49" t="str">
        <x:v>Capital One, N.A.</x:v>
      </x:c>
      <x:c r="E5" s="49" t="str">
        <x:v>Venture, Savor, Quicksilver, Spark, REI Co-op, BJ's One, Bass Pro Shops CLUB, Cabela's CLUB, Williams Sonoma Key Rewards</x:v>
      </x:c>
      <x:c r="F5" s="49" t="str">
        <x:v>https://www.capitalone.com/credit-cards/</x:v>
      </x:c>
      <x:c r="G5" s="49" t="str">
        <x:v>https://www.capitalone.com/credit-cards/preapprove/</x:v>
      </x:c>
      <x:c r="H5" s="49" t="str">
        <x:v>Official Capital One credit card hub; browser title confirmed.</x:v>
      </x:c>
      <x:c r="I5" s="49" t="str">
        <x:v>Current public issuer listing</x:v>
      </x:c>
      <x:c r="J5" s="49" t="str">
        <x:v>High</x:v>
      </x:c>
      <x:c r="K5" s="49" t="str">
        <x:v>2026-05-30</x:v>
      </x:c>
      <x:c r="L5" s="50" t="str">
        <x:v>Use brand pages for some co-brand offers because Capital One may route through partner microsites.</x:v>
      </x:c>
    </x:row>
    <x:row r="6">
      <x:c r="A6" s="48" t="str">
        <x:v>Bank of America</x:v>
      </x:c>
      <x:c r="B6" s="49" t="str">
        <x:v>Bank/Card Issuer</x:v>
      </x:c>
      <x:c r="C6" s="49" t="str">
        <x:v>Primary issuer and co-brand issuer</x:v>
      </x:c>
      <x:c r="D6" s="49" t="str">
        <x:v>Bank of America, N.A.</x:v>
      </x:c>
      <x:c r="E6" s="49" t="str">
        <x:v>Customized Cash Rewards, Premium Rewards, Alaska Airlines, Norwegian Cruise Line, Royal Caribbean, Spirit, Allegiant</x:v>
      </x:c>
      <x:c r="F6" s="49" t="str">
        <x:v>https://www.bankofamerica.com/credit-cards/</x:v>
      </x:c>
      <x:c r="G6" s="49" t="str">
        <x:v>https://www.bankofamerica.com/credit-cards/products/</x:v>
      </x:c>
      <x:c r="H6" s="49" t="str">
        <x:v>Official Bank of America card hub; browser title confirmed.</x:v>
      </x:c>
      <x:c r="I6" s="49" t="str">
        <x:v>Current public issuer listing</x:v>
      </x:c>
      <x:c r="J6" s="49" t="str">
        <x:v>High</x:v>
      </x:c>
      <x:c r="K6" s="49" t="str">
        <x:v>2026-05-30</x:v>
      </x:c>
      <x:c r="L6" s="50" t="str">
        <x:v>Travel co-brands often appear on both BofA and partner pages.</x:v>
      </x:c>
    </x:row>
    <x:row r="7">
      <x:c r="A7" s="48" t="str">
        <x:v>Wells Fargo</x:v>
      </x:c>
      <x:c r="B7" s="49" t="str">
        <x:v>Bank/Card Issuer</x:v>
      </x:c>
      <x:c r="C7" s="49" t="str">
        <x:v>Primary issuer and co-brand issuer</x:v>
      </x:c>
      <x:c r="D7" s="49" t="str">
        <x:v>Wells Fargo Bank, N.A.</x:v>
      </x:c>
      <x:c r="E7" s="49" t="str">
        <x:v>Active Cash, Autograph, Autograph Journey, Choice Privileges, One Key</x:v>
      </x:c>
      <x:c r="F7" s="49" t="str">
        <x:v>https://creditcards.wellsfargo.com/</x:v>
      </x:c>
      <x:c r="G7" s="49" t="str">
        <x:v>https://www.wellsfargo.com/credit-cards/</x:v>
      </x:c>
      <x:c r="H7" s="49" t="str">
        <x:v>Official Wells Fargo credit card hub; browser title confirmed after redirect.</x:v>
      </x:c>
      <x:c r="I7" s="49" t="str">
        <x:v>Current public issuer listing</x:v>
      </x:c>
      <x:c r="J7" s="49" t="str">
        <x:v>High</x:v>
      </x:c>
      <x:c r="K7" s="49" t="str">
        <x:v>2026-05-30</x:v>
      </x:c>
      <x:c r="L7" s="50" t="str">
        <x:v>Wells Fargo pages can redirect from www.wellsfargo.com to creditcards.wellsfargo.com.</x:v>
      </x:c>
    </x:row>
    <x:row r="8">
      <x:c r="A8" s="48" t="str">
        <x:v>U.S. Bank</x:v>
      </x:c>
      <x:c r="B8" s="49" t="str">
        <x:v>Bank/Card Issuer</x:v>
      </x:c>
      <x:c r="C8" s="49" t="str">
        <x:v>Primary issuer and co-brand issuer</x:v>
      </x:c>
      <x:c r="D8" s="49" t="str">
        <x:v>U.S. Bank National Association</x:v>
      </x:c>
      <x:c r="E8" s="49" t="str">
        <x:v>Altitude, Cash Plus, Shopper Cash Rewards, Kroger family cards, Harley-Davidson, Korean Air SKYPASS</x:v>
      </x:c>
      <x:c r="F8" s="49" t="str">
        <x:v>https://www.usbank.com/credit-cards.html</x:v>
      </x:c>
      <x:c r="G8" s="49" t="str">
        <x:v>https://www.usbank.com/credit-cards/co-branded-credit-cards.html</x:v>
      </x:c>
      <x:c r="H8" s="49" t="str">
        <x:v>Official U.S. Bank credit card hub; browser title confirmed.</x:v>
      </x:c>
      <x:c r="I8" s="49" t="str">
        <x:v>Current public issuer listing</x:v>
      </x:c>
      <x:c r="J8" s="49" t="str">
        <x:v>High</x:v>
      </x:c>
      <x:c r="K8" s="49" t="str">
        <x:v>2026-05-30</x:v>
      </x:c>
      <x:c r="L8" s="50" t="str">
        <x:v>Kroger-family cards are often on separate microsites.</x:v>
      </x:c>
    </x:row>
    <x:row r="9">
      <x:c r="A9" s="48" t="str">
        <x:v>Discover</x:v>
      </x:c>
      <x:c r="B9" s="49" t="str">
        <x:v>Bank/Card Issuer</x:v>
      </x:c>
      <x:c r="C9" s="49" t="str">
        <x:v>Primary issuer and network</x:v>
      </x:c>
      <x:c r="D9" s="49" t="str">
        <x:v>Discover Bank</x:v>
      </x:c>
      <x:c r="E9" s="49" t="str">
        <x:v>Discover it Cash Back, Chrome, Miles, Student Cash Back</x:v>
      </x:c>
      <x:c r="F9" s="49" t="str">
        <x:v>https://www.discover.com/credit-cards/</x:v>
      </x:c>
      <x:c r="G9" s="49" t="str">
        <x:v>https://www.discover.com/credit-cards/cash-back/</x:v>
      </x:c>
      <x:c r="H9" s="49" t="str">
        <x:v>Official Discover card hub; browser title confirmed.</x:v>
      </x:c>
      <x:c r="I9" s="49" t="str">
        <x:v>Current public issuer listing</x:v>
      </x:c>
      <x:c r="J9" s="49" t="str">
        <x:v>High</x:v>
      </x:c>
      <x:c r="K9" s="49" t="str">
        <x:v>2026-05-30</x:v>
      </x:c>
      <x:c r="L9" s="50" t="str">
        <x:v>Discover first-year match language can be central to offer research.</x:v>
      </x:c>
    </x:row>
    <x:row r="10">
      <x:c r="A10" s="48" t="str">
        <x:v>Barclays US</x:v>
      </x:c>
      <x:c r="B10" s="49" t="str">
        <x:v>Bank/Card Issuer</x:v>
      </x:c>
      <x:c r="C10" s="49" t="str">
        <x:v>Co-brand issuer</x:v>
      </x:c>
      <x:c r="D10" s="49" t="str">
        <x:v>Barclays Bank Delaware</x:v>
      </x:c>
      <x:c r="E10" s="49" t="str">
        <x:v>JetBlue, Wyndham Rewards, AARP, Emirates, Lufthansa, Breeze, Frontier, Carnival, Princess</x:v>
      </x:c>
      <x:c r="F10" s="49" t="str">
        <x:v>https://cards.barclaycardus.com/</x:v>
      </x:c>
      <x:c r="G10" s="49" t="str">
        <x:v>https://cards.barclaycardus.com/banking/cards/</x:v>
      </x:c>
      <x:c r="H10" s="49" t="str">
        <x:v>Official Barclays US card site; browser title confirmed.</x:v>
      </x:c>
      <x:c r="I10" s="49" t="str">
        <x:v>Current public issuer/co-brand site</x:v>
      </x:c>
      <x:c r="J10" s="49" t="str">
        <x:v>High</x:v>
      </x:c>
      <x:c r="K10" s="49" t="str">
        <x:v>2026-05-30</x:v>
      </x:c>
      <x:c r="L10" s="50" t="str">
        <x:v>Some Barclays product URLs are routed by partner pages; AA Aviator should be treated as transition/past-year context.</x:v>
      </x:c>
    </x:row>
    <x:row r="11">
      <x:c r="A11" s="48" t="str">
        <x:v>Synchrony</x:v>
      </x:c>
      <x:c r="B11" s="49" t="str">
        <x:v>Bank/Card Issuer</x:v>
      </x:c>
      <x:c r="C11" s="49" t="str">
        <x:v>Private-label and co-brand issuer</x:v>
      </x:c>
      <x:c r="D11" s="49" t="str">
        <x:v>Synchrony Bank</x:v>
      </x:c>
      <x:c r="E11" s="49" t="str">
        <x:v>Sam's Club, PayPal Cashback, Venmo, Verizon, Cathay, Virgin Red, TJX, eBay, Walgreens</x:v>
      </x:c>
      <x:c r="F11" s="49" t="str">
        <x:v>https://www.synchrony.com/financing</x:v>
      </x:c>
      <x:c r="G11" s="49" t="str">
        <x:v>https://www.synchrony.com/marketplace</x:v>
      </x:c>
      <x:c r="H11" s="49" t="str">
        <x:v>Official Synchrony financing and marketplace hub; browser title confirmed.</x:v>
      </x:c>
      <x:c r="I11" s="49" t="str">
        <x:v>Current public issuer/partner-card hub</x:v>
      </x:c>
      <x:c r="J11" s="49" t="str">
        <x:v>High</x:v>
      </x:c>
      <x:c r="K11" s="49" t="str">
        <x:v>2026-05-30</x:v>
      </x:c>
      <x:c r="L11" s="50" t="str">
        <x:v>Huge catalog; downstream agents should search Synchrony plus the brand name for direct offer pages.</x:v>
      </x:c>
    </x:row>
    <x:row r="12">
      <x:c r="A12" s="48" t="str">
        <x:v>Bread Financial / Comenity</x:v>
      </x:c>
      <x:c r="B12" s="49" t="str">
        <x:v>Bank/Card Issuer</x:v>
      </x:c>
      <x:c r="C12" s="49" t="str">
        <x:v>Private-label and co-brand issuer</x:v>
      </x:c>
      <x:c r="D12" s="49" t="str">
        <x:v>Comenity Bank / Comenity Capital Bank</x:v>
      </x:c>
      <x:c r="E12" s="49" t="str">
        <x:v>AAA, Caesars Rewards, Sephora, Ulta Beauty, Victoria's Secret, NFL Extra Points, PlayStation</x:v>
      </x:c>
      <x:c r="F12" s="49" t="str">
        <x:v>https://www.breadfinancial.com/en/credit-cards.html</x:v>
      </x:c>
      <x:c r="G12" s="49" t="str">
        <x:v>https://www.comenity.net/</x:v>
      </x:c>
      <x:c r="H12" s="49" t="str">
        <x:v>Official Bread Financial credit card and Comenity servicing pages.</x:v>
      </x:c>
      <x:c r="I12" s="49" t="str">
        <x:v>Current public issuer/partner-card hub</x:v>
      </x:c>
      <x:c r="J12" s="49" t="str">
        <x:v>High</x:v>
      </x:c>
      <x:c r="K12" s="49" t="str">
        <x:v>2026-05-30</x:v>
      </x:c>
      <x:c r="L12" s="50" t="str">
        <x:v>Bread/Comenity offer details often live on brand microsites or Comenity application pages.</x:v>
      </x:c>
    </x:row>
    <x:row r="13">
      <x:c r="A13" s="48" t="str">
        <x:v>FNBO</x:v>
      </x:c>
      <x:c r="B13" s="49" t="str">
        <x:v>Bank/Card Issuer</x:v>
      </x:c>
      <x:c r="C13" s="49" t="str">
        <x:v>Primary issuer and co-brand issuer</x:v>
      </x:c>
      <x:c r="D13" s="49" t="str">
        <x:v>First National Bank of Omaha</x:v>
      </x:c>
      <x:c r="E13" s="49" t="str">
        <x:v>Evergreen, Getaway, Amtrak Guest Rewards, MGM Rewards, Sun Country, FordPass, Ducks Unlimited, Scheels</x:v>
      </x:c>
      <x:c r="F13" s="49" t="str">
        <x:v>https://www.fnbo.com/personal-banking/credit-cards</x:v>
      </x:c>
      <x:c r="G13" s="49" t="str">
        <x:v>https://www.fnbo.com/personal-banking/credit-cards/partner-cards</x:v>
      </x:c>
      <x:c r="H13" s="49" t="str">
        <x:v>Official FNBO credit card hub; browser title confirmed.</x:v>
      </x:c>
      <x:c r="I13" s="49" t="str">
        <x:v>Current public issuer listing</x:v>
      </x:c>
      <x:c r="J13" s="49" t="str">
        <x:v>High</x:v>
      </x:c>
      <x:c r="K13" s="49" t="str">
        <x:v>2026-05-30</x:v>
      </x:c>
      <x:c r="L13" s="50" t="str">
        <x:v>Partner-card catalog is valuable for co-brand discovery.</x:v>
      </x:c>
    </x:row>
    <x:row r="14">
      <x:c r="A14" s="48" t="str">
        <x:v>TD Bank</x:v>
      </x:c>
      <x:c r="B14" s="49" t="str">
        <x:v>Bank/Card Issuer</x:v>
      </x:c>
      <x:c r="C14" s="49" t="str">
        <x:v>Primary issuer and co-brand issuer</x:v>
      </x:c>
      <x:c r="D14" s="49" t="str">
        <x:v>TD Bank, N.A.</x:v>
      </x:c>
      <x:c r="E14" s="49" t="str">
        <x:v>TD Cash, TD Double Up, Nordstrom, Target Circle Card</x:v>
      </x:c>
      <x:c r="F14" s="49" t="str">
        <x:v>https://www.td.com/us/en/personal-banking/credit-cards</x:v>
      </x:c>
      <x:c r="G14" s="49" t="str">
        <x:v>https://www.td.com/us/en/personal-banking/credit-cards/compare-cards</x:v>
      </x:c>
      <x:c r="H14" s="49" t="str">
        <x:v>Official TD Bank credit card hub; browser title confirmed.</x:v>
      </x:c>
      <x:c r="I14" s="49" t="str">
        <x:v>Current public issuer listing</x:v>
      </x:c>
      <x:c r="J14" s="49" t="str">
        <x:v>Medium</x:v>
      </x:c>
      <x:c r="K14" s="49" t="str">
        <x:v>2026-05-30</x:v>
      </x:c>
      <x:c r="L14" s="50" t="str">
        <x:v>Retail co-brand offer research should start from the retail partner page.</x:v>
      </x:c>
    </x:row>
    <x:row r="15">
      <x:c r="A15" s="48" t="str">
        <x:v>PNC Bank</x:v>
      </x:c>
      <x:c r="B15" s="49" t="str">
        <x:v>Bank/Card Issuer</x:v>
      </x:c>
      <x:c r="C15" s="49" t="str">
        <x:v>Primary issuer</x:v>
      </x:c>
      <x:c r="D15" s="49" t="str">
        <x:v>PNC Bank, N.A.</x:v>
      </x:c>
      <x:c r="E15" s="49" t="str">
        <x:v>PNC Cash Rewards, PNC points, PNC Miles, PNC Core</x:v>
      </x:c>
      <x:c r="F15" s="49" t="str">
        <x:v>https://www.pnc.com/en/personal-banking/banking/credit-cards.html</x:v>
      </x:c>
      <x:c r="G15" s="49" t="str"/>
      <x:c r="H15" s="49" t="str">
        <x:v>Official PNC credit card hub.</x:v>
      </x:c>
      <x:c r="I15" s="49" t="str">
        <x:v>Current public issuer listing</x:v>
      </x:c>
      <x:c r="J15" s="49" t="str">
        <x:v>Medium</x:v>
      </x:c>
      <x:c r="K15" s="49" t="str">
        <x:v>2026-05-30</x:v>
      </x:c>
      <x:c r="L15" s="50" t="str"/>
    </x:row>
    <x:row r="16">
      <x:c r="A16" s="48" t="str">
        <x:v>Truist</x:v>
      </x:c>
      <x:c r="B16" s="49" t="str">
        <x:v>Bank/Card Issuer</x:v>
      </x:c>
      <x:c r="C16" s="49" t="str">
        <x:v>Primary issuer</x:v>
      </x:c>
      <x:c r="D16" s="49" t="str">
        <x:v>Truist Bank</x:v>
      </x:c>
      <x:c r="E16" s="49" t="str">
        <x:v>Enjoy Cash, Enjoy Travel, Future Card</x:v>
      </x:c>
      <x:c r="F16" s="49" t="str">
        <x:v>https://www.truist.com/credit-cards</x:v>
      </x:c>
      <x:c r="G16" s="49" t="str"/>
      <x:c r="H16" s="49" t="str">
        <x:v>Official Truist credit card hub.</x:v>
      </x:c>
      <x:c r="I16" s="49" t="str">
        <x:v>Current public issuer listing</x:v>
      </x:c>
      <x:c r="J16" s="49" t="str">
        <x:v>Medium</x:v>
      </x:c>
      <x:c r="K16" s="49" t="str">
        <x:v>2026-05-30</x:v>
      </x:c>
      <x:c r="L16" s="50" t="str"/>
    </x:row>
    <x:row r="17">
      <x:c r="A17" s="48" t="str">
        <x:v>BMO</x:v>
      </x:c>
      <x:c r="B17" s="49" t="str">
        <x:v>Bank/Card Issuer</x:v>
      </x:c>
      <x:c r="C17" s="49" t="str">
        <x:v>Primary issuer</x:v>
      </x:c>
      <x:c r="D17" s="49" t="str">
        <x:v>BMO Bank N.A.</x:v>
      </x:c>
      <x:c r="E17" s="49" t="str">
        <x:v>BMO Cash Back, BMO Platinum Rewards, BMO Premium Rewards</x:v>
      </x:c>
      <x:c r="F17" s="49" t="str">
        <x:v>https://www.bmo.com/en-us/main/personal/credit-cards/</x:v>
      </x:c>
      <x:c r="G17" s="49" t="str"/>
      <x:c r="H17" s="49" t="str">
        <x:v>Official BMO credit card hub.</x:v>
      </x:c>
      <x:c r="I17" s="49" t="str">
        <x:v>Current public issuer listing</x:v>
      </x:c>
      <x:c r="J17" s="49" t="str">
        <x:v>Medium</x:v>
      </x:c>
      <x:c r="K17" s="49" t="str">
        <x:v>2026-05-30</x:v>
      </x:c>
      <x:c r="L17" s="50" t="str"/>
    </x:row>
    <x:row r="18">
      <x:c r="A18" s="48" t="str">
        <x:v>Fifth Third Bank</x:v>
      </x:c>
      <x:c r="B18" s="49" t="str">
        <x:v>Bank/Card Issuer</x:v>
      </x:c>
      <x:c r="C18" s="49" t="str">
        <x:v>Primary issuer</x:v>
      </x:c>
      <x:c r="D18" s="49" t="str">
        <x:v>Fifth Third Bank, N.A.</x:v>
      </x:c>
      <x:c r="E18" s="49" t="str">
        <x:v>1.67% Cash/Back, Preferred Cash/Back, Truly Simple</x:v>
      </x:c>
      <x:c r="F18" s="49" t="str">
        <x:v>https://www.53.com/content/fifth-third/en/personal-banking/bank/credit-cards.html</x:v>
      </x:c>
      <x:c r="G18" s="49" t="str"/>
      <x:c r="H18" s="49" t="str">
        <x:v>Official Fifth Third credit card hub.</x:v>
      </x:c>
      <x:c r="I18" s="49" t="str">
        <x:v>Current public issuer listing</x:v>
      </x:c>
      <x:c r="J18" s="49" t="str">
        <x:v>Medium</x:v>
      </x:c>
      <x:c r="K18" s="49" t="str">
        <x:v>2026-05-30</x:v>
      </x:c>
      <x:c r="L18" s="50" t="str"/>
    </x:row>
    <x:row r="19">
      <x:c r="A19" s="48" t="str">
        <x:v>Huntington Bank</x:v>
      </x:c>
      <x:c r="B19" s="49" t="str">
        <x:v>Bank/Card Issuer</x:v>
      </x:c>
      <x:c r="C19" s="49" t="str">
        <x:v>Primary issuer</x:v>
      </x:c>
      <x:c r="D19" s="49" t="str">
        <x:v>The Huntington National Bank</x:v>
      </x:c>
      <x:c r="E19" s="49" t="str">
        <x:v>Huntington Cashback Credit Card, Voice Rewards</x:v>
      </x:c>
      <x:c r="F19" s="49" t="str">
        <x:v>https://www.huntington.com/Personal/credit-card</x:v>
      </x:c>
      <x:c r="G19" s="49" t="str"/>
      <x:c r="H19" s="49" t="str">
        <x:v>Official Huntington credit card hub.</x:v>
      </x:c>
      <x:c r="I19" s="49" t="str">
        <x:v>Current public issuer listing</x:v>
      </x:c>
      <x:c r="J19" s="49" t="str">
        <x:v>Medium</x:v>
      </x:c>
      <x:c r="K19" s="49" t="str">
        <x:v>2026-05-30</x:v>
      </x:c>
      <x:c r="L19" s="50" t="str"/>
    </x:row>
    <x:row r="20">
      <x:c r="A20" s="48" t="str">
        <x:v>Regions Bank</x:v>
      </x:c>
      <x:c r="B20" s="49" t="str">
        <x:v>Bank/Card Issuer</x:v>
      </x:c>
      <x:c r="C20" s="49" t="str">
        <x:v>Primary issuer</x:v>
      </x:c>
      <x:c r="D20" s="49" t="str">
        <x:v>Regions Bank</x:v>
      </x:c>
      <x:c r="E20" s="49" t="str">
        <x:v>Prestige, Premium, Explore Visa</x:v>
      </x:c>
      <x:c r="F20" s="49" t="str">
        <x:v>https://www.regions.com/personal-banking/credit-cards</x:v>
      </x:c>
      <x:c r="G20" s="49" t="str"/>
      <x:c r="H20" s="49" t="str">
        <x:v>Official Regions credit card hub.</x:v>
      </x:c>
      <x:c r="I20" s="49" t="str">
        <x:v>Current public issuer listing</x:v>
      </x:c>
      <x:c r="J20" s="49" t="str">
        <x:v>Medium</x:v>
      </x:c>
      <x:c r="K20" s="49" t="str">
        <x:v>2026-05-30</x:v>
      </x:c>
      <x:c r="L20" s="50" t="str"/>
    </x:row>
    <x:row r="21">
      <x:c r="A21" s="48" t="str">
        <x:v>Citizens Bank</x:v>
      </x:c>
      <x:c r="B21" s="49" t="str">
        <x:v>Bank/Card Issuer</x:v>
      </x:c>
      <x:c r="C21" s="49" t="str">
        <x:v>Primary issuer</x:v>
      </x:c>
      <x:c r="D21" s="49" t="str">
        <x:v>Citizens Bank, N.A.</x:v>
      </x:c>
      <x:c r="E21" s="49" t="str">
        <x:v>Cash Back Plus World Mastercard, Clear Value Mastercard</x:v>
      </x:c>
      <x:c r="F21" s="49" t="str">
        <x:v>https://www.citizensbank.com/credit-cards/overview.aspx</x:v>
      </x:c>
      <x:c r="G21" s="49" t="str"/>
      <x:c r="H21" s="49" t="str">
        <x:v>Official Citizens credit card hub.</x:v>
      </x:c>
      <x:c r="I21" s="49" t="str">
        <x:v>Current public issuer listing</x:v>
      </x:c>
      <x:c r="J21" s="49" t="str">
        <x:v>Medium</x:v>
      </x:c>
      <x:c r="K21" s="49" t="str">
        <x:v>2026-05-30</x:v>
      </x:c>
      <x:c r="L21" s="50" t="str"/>
    </x:row>
    <x:row r="22">
      <x:c r="A22" s="48" t="str">
        <x:v>Navy Federal Credit Union</x:v>
      </x:c>
      <x:c r="B22" s="49" t="str">
        <x:v>Bank/Card Issuer</x:v>
      </x:c>
      <x:c r="C22" s="49" t="str">
        <x:v>Credit union issuer</x:v>
      </x:c>
      <x:c r="D22" s="49" t="str">
        <x:v>Navy Federal Credit Union</x:v>
      </x:c>
      <x:c r="E22" s="49" t="str">
        <x:v>cashRewards, More Rewards American Express, Flagship Rewards, GO REWARDS</x:v>
      </x:c>
      <x:c r="F22" s="49" t="str">
        <x:v>https://www.navyfederal.org/loans-cards/credit-cards.html</x:v>
      </x:c>
      <x:c r="G22" s="49" t="str"/>
      <x:c r="H22" s="49" t="str">
        <x:v>Official Navy Federal credit card hub.</x:v>
      </x:c>
      <x:c r="I22" s="49" t="str">
        <x:v>Current public issuer listing</x:v>
      </x:c>
      <x:c r="J22" s="49" t="str">
        <x:v>Medium</x:v>
      </x:c>
      <x:c r="K22" s="49" t="str">
        <x:v>2026-05-30</x:v>
      </x:c>
      <x:c r="L22" s="50" t="str">
        <x:v>Membership eligibility applies.</x:v>
      </x:c>
    </x:row>
    <x:row r="23">
      <x:c r="A23" s="48" t="str">
        <x:v>PenFed Credit Union</x:v>
      </x:c>
      <x:c r="B23" s="49" t="str">
        <x:v>Bank/Card Issuer</x:v>
      </x:c>
      <x:c r="C23" s="49" t="str">
        <x:v>Credit union issuer</x:v>
      </x:c>
      <x:c r="D23" s="49" t="str">
        <x:v>Pentagon Federal Credit Union</x:v>
      </x:c>
      <x:c r="E23" s="49" t="str">
        <x:v>Power Cash Rewards, Platinum Rewards, Pathfinder Rewards</x:v>
      </x:c>
      <x:c r="F23" s="49" t="str">
        <x:v>https://www.penfed.org/credit-cards</x:v>
      </x:c>
      <x:c r="G23" s="49" t="str"/>
      <x:c r="H23" s="49" t="str">
        <x:v>Official PenFed credit card hub.</x:v>
      </x:c>
      <x:c r="I23" s="49" t="str">
        <x:v>Current public issuer listing</x:v>
      </x:c>
      <x:c r="J23" s="49" t="str">
        <x:v>Medium</x:v>
      </x:c>
      <x:c r="K23" s="49" t="str">
        <x:v>2026-05-30</x:v>
      </x:c>
      <x:c r="L23" s="50" t="str">
        <x:v>Membership applies.</x:v>
      </x:c>
    </x:row>
    <x:row r="24">
      <x:c r="A24" s="48" t="str">
        <x:v>USAA</x:v>
      </x:c>
      <x:c r="B24" s="49" t="str">
        <x:v>Bank/Card Issuer</x:v>
      </x:c>
      <x:c r="C24" s="49" t="str">
        <x:v>Primary issuer</x:v>
      </x:c>
      <x:c r="D24" s="49" t="str">
        <x:v>USAA Savings Bank</x:v>
      </x:c>
      <x:c r="E24" s="49" t="str">
        <x:v>Preferred Cash Rewards, Rewards Visa Signature, Rate Advantage</x:v>
      </x:c>
      <x:c r="F24" s="49" t="str">
        <x:v>https://www.usaa.com/inet/wc/bank-credit-cards</x:v>
      </x:c>
      <x:c r="G24" s="49" t="str"/>
      <x:c r="H24" s="49" t="str">
        <x:v>Official USAA credit card hub.</x:v>
      </x:c>
      <x:c r="I24" s="49" t="str">
        <x:v>Current public issuer listing</x:v>
      </x:c>
      <x:c r="J24" s="49" t="str">
        <x:v>Medium</x:v>
      </x:c>
      <x:c r="K24" s="49" t="str">
        <x:v>2026-05-30</x:v>
      </x:c>
      <x:c r="L24" s="50" t="str">
        <x:v>Eligibility applies.</x:v>
      </x:c>
    </x:row>
    <x:row r="25">
      <x:c r="A25" s="48" t="str">
        <x:v>Alliant Credit Union</x:v>
      </x:c>
      <x:c r="B25" s="49" t="str">
        <x:v>Bank/Card Issuer</x:v>
      </x:c>
      <x:c r="C25" s="49" t="str">
        <x:v>Credit union issuer</x:v>
      </x:c>
      <x:c r="D25" s="49" t="str">
        <x:v>Alliant Credit Union</x:v>
      </x:c>
      <x:c r="E25" s="49" t="str">
        <x:v>Alliant Cashback Visa Signature</x:v>
      </x:c>
      <x:c r="F25" s="49" t="str">
        <x:v>https://www.alliantcreditunion.org/bank/visa-signature-card</x:v>
      </x:c>
      <x:c r="G25" s="49" t="str">
        <x:v>https://www.alliantcreditunion.org/bank/credit-cards</x:v>
      </x:c>
      <x:c r="H25" s="49" t="str">
        <x:v>Official Alliant credit card page.</x:v>
      </x:c>
      <x:c r="I25" s="49" t="str">
        <x:v>Current public product page</x:v>
      </x:c>
      <x:c r="J25" s="49" t="str">
        <x:v>Medium</x:v>
      </x:c>
      <x:c r="K25" s="49" t="str">
        <x:v>2026-05-30</x:v>
      </x:c>
      <x:c r="L25" s="50" t="str">
        <x:v>Membership applies.</x:v>
      </x:c>
    </x:row>
    <x:row r="26">
      <x:c r="A26" s="48" t="str">
        <x:v>First Tech Federal Credit Union</x:v>
      </x:c>
      <x:c r="B26" s="49" t="str">
        <x:v>Bank/Card Issuer</x:v>
      </x:c>
      <x:c r="C26" s="49" t="str">
        <x:v>Credit union issuer</x:v>
      </x:c>
      <x:c r="D26" s="49" t="str">
        <x:v>First Tech Federal Credit Union</x:v>
      </x:c>
      <x:c r="E26" s="49" t="str">
        <x:v>Choice Rewards, Odyssey Rewards</x:v>
      </x:c>
      <x:c r="F26" s="49" t="str">
        <x:v>https://www.firsttechfed.com/borrow/credit-cards</x:v>
      </x:c>
      <x:c r="G26" s="49" t="str"/>
      <x:c r="H26" s="49" t="str">
        <x:v>Official First Tech credit card hub.</x:v>
      </x:c>
      <x:c r="I26" s="49" t="str">
        <x:v>Current public issuer listing</x:v>
      </x:c>
      <x:c r="J26" s="49" t="str">
        <x:v>Medium</x:v>
      </x:c>
      <x:c r="K26" s="49" t="str">
        <x:v>2026-05-30</x:v>
      </x:c>
      <x:c r="L26" s="50" t="str">
        <x:v>Membership applies.</x:v>
      </x:c>
    </x:row>
    <x:row r="27">
      <x:c r="A27" s="48" t="str">
        <x:v>SoFi</x:v>
      </x:c>
      <x:c r="B27" s="49" t="str">
        <x:v>Bank/Card Issuer</x:v>
      </x:c>
      <x:c r="C27" s="49" t="str">
        <x:v>Fintech/bank issuer</x:v>
      </x:c>
      <x:c r="D27" s="49" t="str">
        <x:v>SoFi Bank, N.A.</x:v>
      </x:c>
      <x:c r="E27" s="49" t="str">
        <x:v>SoFi Credit Card / unlimited rewards card</x:v>
      </x:c>
      <x:c r="F27" s="49" t="str">
        <x:v>https://www.sofi.com/credit-card/</x:v>
      </x:c>
      <x:c r="G27" s="49" t="str"/>
      <x:c r="H27" s="49" t="str">
        <x:v>Official SoFi credit card page.</x:v>
      </x:c>
      <x:c r="I27" s="49" t="str">
        <x:v>Current public product page</x:v>
      </x:c>
      <x:c r="J27" s="49" t="str">
        <x:v>Medium</x:v>
      </x:c>
      <x:c r="K27" s="49" t="str">
        <x:v>2026-05-30</x:v>
      </x:c>
      <x:c r="L27" s="50" t="str"/>
    </x:row>
    <x:row r="28">
      <x:c r="A28" s="48" t="str">
        <x:v>Elan Financial Services</x:v>
      </x:c>
      <x:c r="B28" s="49" t="str">
        <x:v>Bank/Card Issuer</x:v>
      </x:c>
      <x:c r="C28" s="49" t="str">
        <x:v>Agent-bank and partner-card issuer</x:v>
      </x:c>
      <x:c r="D28" s="49" t="str">
        <x:v>Elan Financial Services / U.S. Bank</x:v>
      </x:c>
      <x:c r="E28" s="49" t="str">
        <x:v>Fidelity Rewards Visa Signature and other partner-bank rewards cards</x:v>
      </x:c>
      <x:c r="F28" s="49" t="str">
        <x:v>https://www.elanfinancialservices.com/credit-card/index.html</x:v>
      </x:c>
      <x:c r="G28" s="49" t="str">
        <x:v>https://www.fidelityrewards.com/</x:v>
      </x:c>
      <x:c r="H28" s="49" t="str">
        <x:v>Official Elan credit card and Fidelity Rewards card pages.</x:v>
      </x:c>
      <x:c r="I28" s="49" t="str">
        <x:v>Current public issuer/partner-card pages</x:v>
      </x:c>
      <x:c r="J28" s="49" t="str">
        <x:v>Medium</x:v>
      </x:c>
      <x:c r="K28" s="49" t="str">
        <x:v>2026-05-30</x:v>
      </x:c>
      <x:c r="L28" s="50" t="str">
        <x:v>Useful for financial-institution partner-card discovery.</x:v>
      </x:c>
    </x:row>
    <x:row r="29">
      <x:c r="A29" s="48" t="str">
        <x:v>Credit One Bank</x:v>
      </x:c>
      <x:c r="B29" s="49" t="str">
        <x:v>Bank/Card Issuer</x:v>
      </x:c>
      <x:c r="C29" s="49" t="str">
        <x:v>Primary issuer</x:v>
      </x:c>
      <x:c r="D29" s="49" t="str">
        <x:v>Credit One Bank, N.A.</x:v>
      </x:c>
      <x:c r="E29" s="49" t="str">
        <x:v>Credit One Bank cash back and points cards; co-brands including NASCAR and WWE in some channels</x:v>
      </x:c>
      <x:c r="F29" s="49" t="str">
        <x:v>https://www.creditonebank.com/credit-cards</x:v>
      </x:c>
      <x:c r="G29" s="49" t="str"/>
      <x:c r="H29" s="49" t="str">
        <x:v>Official Credit One credit card hub.</x:v>
      </x:c>
      <x:c r="I29" s="49" t="str">
        <x:v>Current public issuer listing</x:v>
      </x:c>
      <x:c r="J29" s="49" t="str">
        <x:v>Medium</x:v>
      </x:c>
      <x:c r="K29" s="49" t="str">
        <x:v>2026-05-30</x:v>
      </x:c>
      <x:c r="L29" s="50" t="str"/>
    </x:row>
    <x:row r="30">
      <x:c r="A30" s="48" t="str">
        <x:v>Upgrade</x:v>
      </x:c>
      <x:c r="B30" s="49" t="str">
        <x:v>Bank/Card Issuer</x:v>
      </x:c>
      <x:c r="C30" s="49" t="str">
        <x:v>Fintech card program</x:v>
      </x:c>
      <x:c r="D30" s="49" t="str">
        <x:v>Cross River Bank / Sutton Bank depending on product</x:v>
      </x:c>
      <x:c r="E30" s="49" t="str">
        <x:v>Upgrade OneCard, Upgrade Triple Cash Rewards</x:v>
      </x:c>
      <x:c r="F30" s="49" t="str">
        <x:v>https://www.upgrade.com/upgrade-card/</x:v>
      </x:c>
      <x:c r="G30" s="49" t="str">
        <x:v>https://www.upgrade.com/cards/</x:v>
      </x:c>
      <x:c r="H30" s="49" t="str">
        <x:v>Official Upgrade card pages.</x:v>
      </x:c>
      <x:c r="I30" s="49" t="str">
        <x:v>Current public product pages</x:v>
      </x:c>
      <x:c r="J30" s="49" t="str">
        <x:v>Low</x:v>
      </x:c>
      <x:c r="K30" s="49" t="str">
        <x:v>2026-05-30</x:v>
      </x:c>
      <x:c r="L30" s="50" t="str">
        <x:v>Program structure differs from conventional revolving credit cards; verify product terms.</x:v>
      </x:c>
    </x:row>
    <x:row r="31">
      <x:c r="A31" s="48" t="str">
        <x:v>Cardless</x:v>
      </x:c>
      <x:c r="B31" s="49" t="str">
        <x:v>Bank/Card Issuer</x:v>
      </x:c>
      <x:c r="C31" s="49" t="str">
        <x:v>Co-brand card platform</x:v>
      </x:c>
      <x:c r="D31" s="49" t="str">
        <x:v>First Electronic Bank for many Cardless programs</x:v>
      </x:c>
      <x:c r="E31" s="49" t="str">
        <x:v>Qatar Airways, LATAM, Avianca LifeMiles, TAP Miles&amp;Go, Turkish Airlines, Simon</x:v>
      </x:c>
      <x:c r="F31" s="49" t="str">
        <x:v>https://www.cardless.com/</x:v>
      </x:c>
      <x:c r="G31" s="49" t="str">
        <x:v>https://www.cardless.com/cards</x:v>
      </x:c>
      <x:c r="H31" s="49" t="str">
        <x:v>Official Cardless site plus airline partner application pages.</x:v>
      </x:c>
      <x:c r="I31" s="49" t="str">
        <x:v>Current public co-brand card platform</x:v>
      </x:c>
      <x:c r="J31" s="49" t="str">
        <x:v>High</x:v>
      </x:c>
      <x:c r="K31" s="49" t="str">
        <x:v>2026-05-30</x:v>
      </x:c>
      <x:c r="L31" s="50" t="str">
        <x:v>Use partner-specific Cardless microsites for final offers.</x:v>
      </x:c>
    </x:row>
    <x:row r="32">
      <x:c r="A32" s="48" t="str">
        <x:v>American Airlines AAdvantage</x:v>
      </x:c>
      <x:c r="B32" s="49" t="str">
        <x:v>Airline/Rail</x:v>
      </x:c>
      <x:c r="C32" s="49" t="str">
        <x:v>Airline co-brand partner</x:v>
      </x:c>
      <x:c r="D32" s="49" t="str">
        <x:v>Citi; Barclays transition/past-year context</x:v>
      </x:c>
      <x:c r="E32" s="49" t="str">
        <x:v>Citi / AAdvantage cards; former AAdvantage Aviator cards</x:v>
      </x:c>
      <x:c r="F32" s="49" t="str">
        <x:v>https://creditcards.aa.com/</x:v>
      </x:c>
      <x:c r="G32" s="49" t="str">
        <x:v>https://www.citi.com/credit-cards/american-airlines-credit-cards</x:v>
      </x:c>
      <x:c r="H32" s="49" t="str">
        <x:v>Official American Airlines credit card landing page and Citi co-brand page.</x:v>
      </x:c>
      <x:c r="I32" s="49" t="str">
        <x:v>Current public co-brand page; Barclays portfolio transition occurred in the past-year window</x:v>
      </x:c>
      <x:c r="J32" s="49" t="str">
        <x:v>High</x:v>
      </x:c>
      <x:c r="K32" s="49" t="str">
        <x:v>2026-05-30</x:v>
      </x:c>
      <x:c r="L32" s="50" t="str">
        <x:v>Track issuer transition carefully; do not assume Barclays accepts new AA applications.</x:v>
      </x:c>
    </x:row>
    <x:row r="33">
      <x:c r="A33" s="48" t="str">
        <x:v>Delta SkyMiles</x:v>
      </x:c>
      <x:c r="B33" s="49" t="str">
        <x:v>Airline/Rail</x:v>
      </x:c>
      <x:c r="C33" s="49" t="str">
        <x:v>Airline co-brand partner</x:v>
      </x:c>
      <x:c r="D33" s="49" t="str">
        <x:v>American Express</x:v>
      </x:c>
      <x:c r="E33" s="49" t="str">
        <x:v>Delta SkyMiles Gold, Platinum, Reserve and business versions</x:v>
      </x:c>
      <x:c r="F33" s="49" t="str">
        <x:v>https://www.delta.com/us/en/skymiles/airline-credit-cards/overview</x:v>
      </x:c>
      <x:c r="G33" s="49" t="str">
        <x:v>https://www.americanexpress.com/us/credit-cards/card/delta-skymiles-gold-american-express-card/</x:v>
      </x:c>
      <x:c r="H33" s="49" t="str">
        <x:v>Official Delta card overview and Amex product pages.</x:v>
      </x:c>
      <x:c r="I33" s="49" t="str">
        <x:v>Current public co-brand page</x:v>
      </x:c>
      <x:c r="J33" s="49" t="str">
        <x:v>High</x:v>
      </x:c>
      <x:c r="K33" s="49" t="str">
        <x:v>2026-05-30</x:v>
      </x:c>
      <x:c r="L33" s="50" t="str"/>
    </x:row>
    <x:row r="34">
      <x:c r="A34" s="48" t="str">
        <x:v>United MileagePlus</x:v>
      </x:c>
      <x:c r="B34" s="49" t="str">
        <x:v>Airline/Rail</x:v>
      </x:c>
      <x:c r="C34" s="49" t="str">
        <x:v>Airline co-brand partner</x:v>
      </x:c>
      <x:c r="D34" s="49" t="str">
        <x:v>JPMorgan Chase</x:v>
      </x:c>
      <x:c r="E34" s="49" t="str">
        <x:v>United Explorer, Quest, Club, Gateway, business cards</x:v>
      </x:c>
      <x:c r="F34" s="49" t="str">
        <x:v>https://www.united.com/en/us/fly/products/chase-cards.html</x:v>
      </x:c>
      <x:c r="G34" s="49" t="str">
        <x:v>https://creditcards.chase.com/travel-credit-cards/united</x:v>
      </x:c>
      <x:c r="H34" s="49" t="str">
        <x:v>Official United and Chase co-brand pages.</x:v>
      </x:c>
      <x:c r="I34" s="49" t="str">
        <x:v>Current public co-brand page</x:v>
      </x:c>
      <x:c r="J34" s="49" t="str">
        <x:v>High</x:v>
      </x:c>
      <x:c r="K34" s="49" t="str">
        <x:v>2026-05-30</x:v>
      </x:c>
      <x:c r="L34" s="50" t="str"/>
    </x:row>
    <x:row r="35">
      <x:c r="A35" s="48" t="str">
        <x:v>Southwest Rapid Rewards</x:v>
      </x:c>
      <x:c r="B35" s="49" t="str">
        <x:v>Airline/Rail</x:v>
      </x:c>
      <x:c r="C35" s="49" t="str">
        <x:v>Airline co-brand partner</x:v>
      </x:c>
      <x:c r="D35" s="49" t="str">
        <x:v>JPMorgan Chase</x:v>
      </x:c>
      <x:c r="E35" s="49" t="str">
        <x:v>Southwest Rapid Rewards Plus, Premier, Priority, business cards</x:v>
      </x:c>
      <x:c r="F35" s="49" t="str">
        <x:v>https://www.southwest.com/rapid-rewards/credit-card/</x:v>
      </x:c>
      <x:c r="G35" s="49" t="str">
        <x:v>https://creditcards.chase.com/travel-credit-cards/southwest</x:v>
      </x:c>
      <x:c r="H35" s="49" t="str">
        <x:v>Official Southwest and Chase co-brand pages.</x:v>
      </x:c>
      <x:c r="I35" s="49" t="str">
        <x:v>Current public co-brand page</x:v>
      </x:c>
      <x:c r="J35" s="49" t="str">
        <x:v>High</x:v>
      </x:c>
      <x:c r="K35" s="49" t="str">
        <x:v>2026-05-30</x:v>
      </x:c>
      <x:c r="L35" s="50" t="str"/>
    </x:row>
    <x:row r="36">
      <x:c r="A36" s="48" t="str">
        <x:v>Alaska Airlines Mileage Plan</x:v>
      </x:c>
      <x:c r="B36" s="49" t="str">
        <x:v>Airline/Rail</x:v>
      </x:c>
      <x:c r="C36" s="49" t="str">
        <x:v>Airline co-brand partner</x:v>
      </x:c>
      <x:c r="D36" s="49" t="str">
        <x:v>Bank of America</x:v>
      </x:c>
      <x:c r="E36" s="49" t="str">
        <x:v>Alaska Airlines Visa Signature, Alaska Airlines Visa Business</x:v>
      </x:c>
      <x:c r="F36" s="49" t="str">
        <x:v>https://www.alaskaair.com/content/visa-signature-card</x:v>
      </x:c>
      <x:c r="G36" s="49" t="str">
        <x:v>https://www.bankofamerica.com/credit-cards/products/alaska-airlines-credit-card/</x:v>
      </x:c>
      <x:c r="H36" s="49" t="str">
        <x:v>Official Alaska Airlines and Bank of America co-brand pages.</x:v>
      </x:c>
      <x:c r="I36" s="49" t="str">
        <x:v>Current public co-brand page</x:v>
      </x:c>
      <x:c r="J36" s="49" t="str">
        <x:v>High</x:v>
      </x:c>
      <x:c r="K36" s="49" t="str">
        <x:v>2026-05-30</x:v>
      </x:c>
      <x:c r="L36" s="50" t="str">
        <x:v>Hawaiian combination activity may affect future portfolio positioning; verify current issuer/channel.</x:v>
      </x:c>
    </x:row>
    <x:row r="37">
      <x:c r="A37" s="48" t="str">
        <x:v>JetBlue TrueBlue</x:v>
      </x:c>
      <x:c r="B37" s="49" t="str">
        <x:v>Airline/Rail</x:v>
      </x:c>
      <x:c r="C37" s="49" t="str">
        <x:v>Airline co-brand partner</x:v>
      </x:c>
      <x:c r="D37" s="49" t="str">
        <x:v>Barclays Bank Delaware</x:v>
      </x:c>
      <x:c r="E37" s="49" t="str">
        <x:v>JetBlue Card, JetBlue Plus, JetBlue Premier, JetBlue Business</x:v>
      </x:c>
      <x:c r="F37" s="49" t="str">
        <x:v>https://www.jetblue.com/trueblue/credit-cards</x:v>
      </x:c>
      <x:c r="G37" s="49" t="str">
        <x:v>https://cards.barclaycardus.com/banking/cards/jetblue-plus-card/</x:v>
      </x:c>
      <x:c r="H37" s="49" t="str">
        <x:v>Official JetBlue card page and Barclays product paths.</x:v>
      </x:c>
      <x:c r="I37" s="49" t="str">
        <x:v>Current public co-brand page</x:v>
      </x:c>
      <x:c r="J37" s="49" t="str">
        <x:v>High</x:v>
      </x:c>
      <x:c r="K37" s="49" t="str">
        <x:v>2026-05-30</x:v>
      </x:c>
      <x:c r="L37" s="50" t="str"/>
    </x:row>
    <x:row r="38">
      <x:c r="A38" s="48" t="str">
        <x:v>Hawaiian Airlines HawaiianMiles</x:v>
      </x:c>
      <x:c r="B38" s="49" t="str">
        <x:v>Airline/Rail</x:v>
      </x:c>
      <x:c r="C38" s="49" t="str">
        <x:v>Airline co-brand partner</x:v>
      </x:c>
      <x:c r="D38" s="49" t="str">
        <x:v>Barclays Bank Delaware / Bank of Hawaii in related channels</x:v>
      </x:c>
      <x:c r="E38" s="49" t="str">
        <x:v>Hawaiian Airlines World Elite Mastercard</x:v>
      </x:c>
      <x:c r="F38" s="49" t="str">
        <x:v>https://hawaiianairlinesmastercard.com/</x:v>
      </x:c>
      <x:c r="G38" s="49" t="str">
        <x:v>https://www.hawaiianairlines.com/hawaiianmiles/partners/credit-card</x:v>
      </x:c>
      <x:c r="H38" s="49" t="str">
        <x:v>Official Hawaiian Airlines Mastercard microsite and HawaiianMiles partner page.</x:v>
      </x:c>
      <x:c r="I38" s="49" t="str">
        <x:v>Current or recent public co-brand page</x:v>
      </x:c>
      <x:c r="J38" s="49" t="str">
        <x:v>Medium</x:v>
      </x:c>
      <x:c r="K38" s="49" t="str">
        <x:v>2026-05-30</x:v>
      </x:c>
      <x:c r="L38" s="50" t="str">
        <x:v>Monitor Alaska-Hawaiian integration impacts.</x:v>
      </x:c>
    </x:row>
    <x:row r="39">
      <x:c r="A39" s="48" t="str">
        <x:v>Spirit Airlines Free Spirit</x:v>
      </x:c>
      <x:c r="B39" s="49" t="str">
        <x:v>Airline/Rail</x:v>
      </x:c>
      <x:c r="C39" s="49" t="str">
        <x:v>Airline co-brand partner</x:v>
      </x:c>
      <x:c r="D39" s="49" t="str">
        <x:v>Bank of America</x:v>
      </x:c>
      <x:c r="E39" s="49" t="str">
        <x:v>Free Spirit Travel More World Elite Mastercard</x:v>
      </x:c>
      <x:c r="F39" s="49" t="str">
        <x:v>https://www.spirit.com/s/free-spirit-credit-card</x:v>
      </x:c>
      <x:c r="G39" s="49" t="str">
        <x:v>https://www.bankofamerica.com/credit-cards/products/spirit-airlines-credit-card/</x:v>
      </x:c>
      <x:c r="H39" s="49" t="str">
        <x:v>Official Spirit and Bank of America co-brand pages.</x:v>
      </x:c>
      <x:c r="I39" s="49" t="str">
        <x:v>Current public co-brand page</x:v>
      </x:c>
      <x:c r="J39" s="49" t="str">
        <x:v>Medium</x:v>
      </x:c>
      <x:c r="K39" s="49" t="str">
        <x:v>2026-05-30</x:v>
      </x:c>
      <x:c r="L39" s="50" t="str"/>
    </x:row>
    <x:row r="40">
      <x:c r="A40" s="48" t="str">
        <x:v>Frontier Miles</x:v>
      </x:c>
      <x:c r="B40" s="49" t="str">
        <x:v>Airline/Rail</x:v>
      </x:c>
      <x:c r="C40" s="49" t="str">
        <x:v>Airline co-brand partner</x:v>
      </x:c>
      <x:c r="D40" s="49" t="str">
        <x:v>Barclays Bank Delaware</x:v>
      </x:c>
      <x:c r="E40" s="49" t="str">
        <x:v>Frontier Airlines World Mastercard</x:v>
      </x:c>
      <x:c r="F40" s="49" t="str">
        <x:v>https://www.flyfrontier.com/frontier-miles/world-mastercard/</x:v>
      </x:c>
      <x:c r="G40" s="49" t="str">
        <x:v>https://cards.barclaycardus.com/banking/cards/frontier-airlines-world-mastercard/</x:v>
      </x:c>
      <x:c r="H40" s="49" t="str">
        <x:v>Official Frontier and Barclays co-brand pages.</x:v>
      </x:c>
      <x:c r="I40" s="49" t="str">
        <x:v>Current public co-brand page</x:v>
      </x:c>
      <x:c r="J40" s="49" t="str">
        <x:v>Medium</x:v>
      </x:c>
      <x:c r="K40" s="49" t="str">
        <x:v>2026-05-30</x:v>
      </x:c>
      <x:c r="L40" s="50" t="str"/>
    </x:row>
    <x:row r="41">
      <x:c r="A41" s="48" t="str">
        <x:v>Allegiant Allways Rewards</x:v>
      </x:c>
      <x:c r="B41" s="49" t="str">
        <x:v>Airline/Rail</x:v>
      </x:c>
      <x:c r="C41" s="49" t="str">
        <x:v>Airline co-brand partner</x:v>
      </x:c>
      <x:c r="D41" s="49" t="str">
        <x:v>Bank of America</x:v>
      </x:c>
      <x:c r="E41" s="49" t="str">
        <x:v>Allegiant World Mastercard</x:v>
      </x:c>
      <x:c r="F41" s="49" t="str">
        <x:v>https://www.allegiantair.com/allegiant-world-mastercard</x:v>
      </x:c>
      <x:c r="G41" s="49" t="str">
        <x:v>https://www.bankofamerica.com/credit-cards/products/allegiant-credit-card/</x:v>
      </x:c>
      <x:c r="H41" s="49" t="str">
        <x:v>Official Allegiant and Bank of America co-brand pages.</x:v>
      </x:c>
      <x:c r="I41" s="49" t="str">
        <x:v>Current public co-brand page</x:v>
      </x:c>
      <x:c r="J41" s="49" t="str">
        <x:v>Medium</x:v>
      </x:c>
      <x:c r="K41" s="49" t="str">
        <x:v>2026-05-30</x:v>
      </x:c>
      <x:c r="L41" s="50" t="str"/>
    </x:row>
    <x:row r="42">
      <x:c r="A42" s="48" t="str">
        <x:v>Sun Country Rewards</x:v>
      </x:c>
      <x:c r="B42" s="49" t="str">
        <x:v>Airline/Rail</x:v>
      </x:c>
      <x:c r="C42" s="49" t="str">
        <x:v>Airline co-brand partner</x:v>
      </x:c>
      <x:c r="D42" s="49" t="str">
        <x:v>FNBO</x:v>
      </x:c>
      <x:c r="E42" s="49" t="str">
        <x:v>Sun Country Airlines Visa Signature Card</x:v>
      </x:c>
      <x:c r="F42" s="49" t="str">
        <x:v>https://www.suncountry.com/rewards/card</x:v>
      </x:c>
      <x:c r="G42" s="49" t="str">
        <x:v>https://www.fnbo.com/personal-banking/credit-cards/sun-country-airlines-visa-card</x:v>
      </x:c>
      <x:c r="H42" s="49" t="str">
        <x:v>Official Sun Country rewards/card page and FNBO partner-card path.</x:v>
      </x:c>
      <x:c r="I42" s="49" t="str">
        <x:v>Current or recent public co-brand page</x:v>
      </x:c>
      <x:c r="J42" s="49" t="str">
        <x:v>Medium</x:v>
      </x:c>
      <x:c r="K42" s="49" t="str">
        <x:v>2026-05-30</x:v>
      </x:c>
      <x:c r="L42" s="50" t="str"/>
    </x:row>
    <x:row r="43">
      <x:c r="A43" s="48" t="str">
        <x:v>Breeze Airways</x:v>
      </x:c>
      <x:c r="B43" s="49" t="str">
        <x:v>Airline/Rail</x:v>
      </x:c>
      <x:c r="C43" s="49" t="str">
        <x:v>Airline co-brand partner</x:v>
      </x:c>
      <x:c r="D43" s="49" t="str">
        <x:v>Barclays Bank Delaware</x:v>
      </x:c>
      <x:c r="E43" s="49" t="str">
        <x:v>Breeze Easy Visa Signature Card</x:v>
      </x:c>
      <x:c r="F43" s="49" t="str">
        <x:v>https://www.flybreeze.com/page/breeze-easy-visa-card</x:v>
      </x:c>
      <x:c r="G43" s="49" t="str">
        <x:v>https://cards.barclaycardus.com/banking/cards/breeze-easy-visa-signature-card/</x:v>
      </x:c>
      <x:c r="H43" s="49" t="str">
        <x:v>Official Breeze and Barclays co-brand pages.</x:v>
      </x:c>
      <x:c r="I43" s="49" t="str">
        <x:v>Current public co-brand page</x:v>
      </x:c>
      <x:c r="J43" s="49" t="str">
        <x:v>Medium</x:v>
      </x:c>
      <x:c r="K43" s="49" t="str">
        <x:v>2026-05-30</x:v>
      </x:c>
      <x:c r="L43" s="50" t="str"/>
    </x:row>
    <x:row r="44">
      <x:c r="A44" s="48" t="str">
        <x:v>Air Canada Aeroplan</x:v>
      </x:c>
      <x:c r="B44" s="49" t="str">
        <x:v>Airline/Rail</x:v>
      </x:c>
      <x:c r="C44" s="49" t="str">
        <x:v>Airline loyalty co-brand partner</x:v>
      </x:c>
      <x:c r="D44" s="49" t="str">
        <x:v>JPMorgan Chase</x:v>
      </x:c>
      <x:c r="E44" s="49" t="str">
        <x:v>Aeroplan Credit Card</x:v>
      </x:c>
      <x:c r="F44" s="49" t="str">
        <x:v>https://creditcards.chase.com/travel-credit-cards/aircanada/aeroplan</x:v>
      </x:c>
      <x:c r="G44" s="49" t="str">
        <x:v>https://www.aircanada.com/us/en/aco/home/aeroplan/credit-cards.html</x:v>
      </x:c>
      <x:c r="H44" s="49" t="str">
        <x:v>Official Chase and Air Canada Aeroplan credit card pages.</x:v>
      </x:c>
      <x:c r="I44" s="49" t="str">
        <x:v>Current public co-brand page</x:v>
      </x:c>
      <x:c r="J44" s="49" t="str">
        <x:v>High</x:v>
      </x:c>
      <x:c r="K44" s="49" t="str">
        <x:v>2026-05-30</x:v>
      </x:c>
      <x:c r="L44" s="50" t="str">
        <x:v>U.S. card for Canadian airline loyalty program.</x:v>
      </x:c>
    </x:row>
    <x:row r="45">
      <x:c r="A45" s="48" t="str">
        <x:v>British Airways Executive Club</x:v>
      </x:c>
      <x:c r="B45" s="49" t="str">
        <x:v>Airline/Rail</x:v>
      </x:c>
      <x:c r="C45" s="49" t="str">
        <x:v>Airline loyalty co-brand partner</x:v>
      </x:c>
      <x:c r="D45" s="49" t="str">
        <x:v>JPMorgan Chase</x:v>
      </x:c>
      <x:c r="E45" s="49" t="str">
        <x:v>British Airways Visa Signature</x:v>
      </x:c>
      <x:c r="F45" s="49" t="str">
        <x:v>https://creditcards.chase.com/travel-credit-cards/british-airways</x:v>
      </x:c>
      <x:c r="G45" s="49" t="str">
        <x:v>https://www.britishairways.com/en-us/executive-club/collecting-avios/credit-cards</x:v>
      </x:c>
      <x:c r="H45" s="49" t="str">
        <x:v>Official Chase British Airways card page and BA Avios card page.</x:v>
      </x:c>
      <x:c r="I45" s="49" t="str">
        <x:v>Current public co-brand page</x:v>
      </x:c>
      <x:c r="J45" s="49" t="str">
        <x:v>Medium</x:v>
      </x:c>
      <x:c r="K45" s="49" t="str">
        <x:v>2026-05-30</x:v>
      </x:c>
      <x:c r="L45" s="50" t="str">
        <x:v>Part of Chase Avios card group.</x:v>
      </x:c>
    </x:row>
    <x:row r="46">
      <x:c r="A46" s="48" t="str">
        <x:v>Aer Lingus AerClub</x:v>
      </x:c>
      <x:c r="B46" s="49" t="str">
        <x:v>Airline/Rail</x:v>
      </x:c>
      <x:c r="C46" s="49" t="str">
        <x:v>Airline loyalty co-brand partner</x:v>
      </x:c>
      <x:c r="D46" s="49" t="str">
        <x:v>JPMorgan Chase</x:v>
      </x:c>
      <x:c r="E46" s="49" t="str">
        <x:v>Aer Lingus Visa Signature</x:v>
      </x:c>
      <x:c r="F46" s="49" t="str">
        <x:v>https://creditcards.chase.com/travel-credit-cards/aer-lingus</x:v>
      </x:c>
      <x:c r="G46" s="49" t="str">
        <x:v>https://creditcards.chase.com/travel-credit-cards/avios</x:v>
      </x:c>
      <x:c r="H46" s="49" t="str">
        <x:v>Official Chase Aer Lingus and Avios card pages.</x:v>
      </x:c>
      <x:c r="I46" s="49" t="str">
        <x:v>Current public co-brand page</x:v>
      </x:c>
      <x:c r="J46" s="49" t="str">
        <x:v>Medium</x:v>
      </x:c>
      <x:c r="K46" s="49" t="str">
        <x:v>2026-05-30</x:v>
      </x:c>
      <x:c r="L46" s="50" t="str">
        <x:v>Part of Chase Avios card group.</x:v>
      </x:c>
    </x:row>
    <x:row r="47">
      <x:c r="A47" s="48" t="str">
        <x:v>Iberia Plus</x:v>
      </x:c>
      <x:c r="B47" s="49" t="str">
        <x:v>Airline/Rail</x:v>
      </x:c>
      <x:c r="C47" s="49" t="str">
        <x:v>Airline loyalty co-brand partner</x:v>
      </x:c>
      <x:c r="D47" s="49" t="str">
        <x:v>JPMorgan Chase</x:v>
      </x:c>
      <x:c r="E47" s="49" t="str">
        <x:v>Iberia Visa Signature</x:v>
      </x:c>
      <x:c r="F47" s="49" t="str">
        <x:v>https://creditcards.chase.com/travel-credit-cards/iberia</x:v>
      </x:c>
      <x:c r="G47" s="49" t="str">
        <x:v>https://creditcards.chase.com/travel-credit-cards/avios</x:v>
      </x:c>
      <x:c r="H47" s="49" t="str">
        <x:v>Official Chase Iberia and Avios card pages.</x:v>
      </x:c>
      <x:c r="I47" s="49" t="str">
        <x:v>Current public co-brand page</x:v>
      </x:c>
      <x:c r="J47" s="49" t="str">
        <x:v>Medium</x:v>
      </x:c>
      <x:c r="K47" s="49" t="str">
        <x:v>2026-05-30</x:v>
      </x:c>
      <x:c r="L47" s="50" t="str">
        <x:v>Part of Chase Avios card group.</x:v>
      </x:c>
    </x:row>
    <x:row r="48">
      <x:c r="A48" s="48" t="str">
        <x:v>Emirates Skywards</x:v>
      </x:c>
      <x:c r="B48" s="49" t="str">
        <x:v>Airline/Rail</x:v>
      </x:c>
      <x:c r="C48" s="49" t="str">
        <x:v>Airline loyalty co-brand partner</x:v>
      </x:c>
      <x:c r="D48" s="49" t="str">
        <x:v>Barclays Bank Delaware</x:v>
      </x:c>
      <x:c r="E48" s="49" t="str">
        <x:v>Emirates Skywards Rewards World Elite Mastercard, Emirates Skywards Premium World Elite Mastercard</x:v>
      </x:c>
      <x:c r="F48" s="49" t="str">
        <x:v>https://www.emirates.com/us/english/skywards/partners/barclays/</x:v>
      </x:c>
      <x:c r="G48" s="49" t="str">
        <x:v>https://cards.barclaycardus.com/banking/cards/emirates-skywards-rewards-world-elite-mastercard/</x:v>
      </x:c>
      <x:c r="H48" s="49" t="str">
        <x:v>Official Emirates partner page and Barclays card path.</x:v>
      </x:c>
      <x:c r="I48" s="49" t="str">
        <x:v>Current public co-brand page</x:v>
      </x:c>
      <x:c r="J48" s="49" t="str">
        <x:v>Medium</x:v>
      </x:c>
      <x:c r="K48" s="49" t="str">
        <x:v>2026-05-30</x:v>
      </x:c>
      <x:c r="L48" s="50" t="str"/>
    </x:row>
    <x:row r="49">
      <x:c r="A49" s="48" t="str">
        <x:v>Lufthansa Miles &amp; More</x:v>
      </x:c>
      <x:c r="B49" s="49" t="str">
        <x:v>Airline/Rail</x:v>
      </x:c>
      <x:c r="C49" s="49" t="str">
        <x:v>Airline loyalty co-brand partner</x:v>
      </x:c>
      <x:c r="D49" s="49" t="str">
        <x:v>Barclays Bank Delaware</x:v>
      </x:c>
      <x:c r="E49" s="49" t="str">
        <x:v>Miles &amp; More World Elite Mastercard</x:v>
      </x:c>
      <x:c r="F49" s="49" t="str">
        <x:v>https://www.miles-and-more.com/us/en/program/credit-cards.html</x:v>
      </x:c>
      <x:c r="G49" s="49" t="str">
        <x:v>https://cards.barclaycardus.com/banking/cards/lufthansa-miles-and-more-world-elite-mastercard/</x:v>
      </x:c>
      <x:c r="H49" s="49" t="str">
        <x:v>Official Miles &amp; More credit card page and Barclays card path.</x:v>
      </x:c>
      <x:c r="I49" s="49" t="str">
        <x:v>Current public co-brand page</x:v>
      </x:c>
      <x:c r="J49" s="49" t="str">
        <x:v>Medium</x:v>
      </x:c>
      <x:c r="K49" s="49" t="str">
        <x:v>2026-05-30</x:v>
      </x:c>
      <x:c r="L49" s="50" t="str"/>
    </x:row>
    <x:row r="50">
      <x:c r="A50" s="48" t="str">
        <x:v>Virgin Red / Virgin Atlantic Flying Club</x:v>
      </x:c>
      <x:c r="B50" s="49" t="str">
        <x:v>Airline/Rail</x:v>
      </x:c>
      <x:c r="C50" s="49" t="str">
        <x:v>Airline/travel rewards co-brand partner</x:v>
      </x:c>
      <x:c r="D50" s="49" t="str">
        <x:v>Synchrony Bank</x:v>
      </x:c>
      <x:c r="E50" s="49" t="str">
        <x:v>Virgin Red Rewards Mastercard</x:v>
      </x:c>
      <x:c r="F50" s="49" t="str">
        <x:v>https://www.virgin.com/virgin-red/credit-card</x:v>
      </x:c>
      <x:c r="G50" s="49" t="str">
        <x:v>https://www.synchrony.com/financing/virgin-red</x:v>
      </x:c>
      <x:c r="H50" s="49" t="str">
        <x:v>Official Virgin Red card page and Synchrony partner path.</x:v>
      </x:c>
      <x:c r="I50" s="49" t="str">
        <x:v>Current public co-brand page</x:v>
      </x:c>
      <x:c r="J50" s="49" t="str">
        <x:v>Medium</x:v>
      </x:c>
      <x:c r="K50" s="49" t="str">
        <x:v>2026-05-30</x:v>
      </x:c>
      <x:c r="L50" s="50" t="str">
        <x:v>U.S. card is branded as Virgin Red, tied to Virgin loyalty ecosystem.</x:v>
      </x:c>
    </x:row>
    <x:row r="51">
      <x:c r="A51" s="48" t="str">
        <x:v>Cathay Pacific Cathay</x:v>
      </x:c>
      <x:c r="B51" s="49" t="str">
        <x:v>Airline/Rail</x:v>
      </x:c>
      <x:c r="C51" s="49" t="str">
        <x:v>Airline loyalty co-brand partner</x:v>
      </x:c>
      <x:c r="D51" s="49" t="str">
        <x:v>Synchrony Bank</x:v>
      </x:c>
      <x:c r="E51" s="49" t="str">
        <x:v>Cathay World Elite Mastercard</x:v>
      </x:c>
      <x:c r="F51" s="49" t="str">
        <x:v>https://creditcard.cathaypacific.com/</x:v>
      </x:c>
      <x:c r="G51" s="49" t="str">
        <x:v>https://www.cathaypacific.com/cx/en_US/membership/credit-card.html</x:v>
      </x:c>
      <x:c r="H51" s="49" t="str">
        <x:v>Official Cathay credit card microsite and Cathay membership page.</x:v>
      </x:c>
      <x:c r="I51" s="49" t="str">
        <x:v>Current public co-brand page</x:v>
      </x:c>
      <x:c r="J51" s="49" t="str">
        <x:v>Medium</x:v>
      </x:c>
      <x:c r="K51" s="49" t="str">
        <x:v>2026-05-30</x:v>
      </x:c>
      <x:c r="L51" s="50" t="str">
        <x:v>Launched in the recent/past-year window; verify issuer and terms.</x:v>
      </x:c>
    </x:row>
    <x:row r="52">
      <x:c r="A52" s="48" t="str">
        <x:v>Qatar Airways Privilege Club</x:v>
      </x:c>
      <x:c r="B52" s="49" t="str">
        <x:v>Airline/Rail</x:v>
      </x:c>
      <x:c r="C52" s="49" t="str">
        <x:v>Airline loyalty co-brand partner</x:v>
      </x:c>
      <x:c r="D52" s="49" t="str">
        <x:v>Cardless / First Electronic Bank</x:v>
      </x:c>
      <x:c r="E52" s="49" t="str">
        <x:v>Qatar Airways Privilege Club Visa Signature, Infinite</x:v>
      </x:c>
      <x:c r="F52" s="49" t="str">
        <x:v>https://www.qatarairways.com/en-us/Privilege-Club/credit-cards.html</x:v>
      </x:c>
      <x:c r="G52" s="49" t="str">
        <x:v>https://qatarairways.cardless.com/</x:v>
      </x:c>
      <x:c r="H52" s="49" t="str">
        <x:v>Official Qatar Airways and Cardless co-brand pages.</x:v>
      </x:c>
      <x:c r="I52" s="49" t="str">
        <x:v>Current public co-brand page</x:v>
      </x:c>
      <x:c r="J52" s="49" t="str">
        <x:v>Medium</x:v>
      </x:c>
      <x:c r="K52" s="49" t="str">
        <x:v>2026-05-30</x:v>
      </x:c>
      <x:c r="L52" s="50" t="str"/>
    </x:row>
    <x:row r="53">
      <x:c r="A53" s="48" t="str">
        <x:v>LATAM Pass</x:v>
      </x:c>
      <x:c r="B53" s="49" t="str">
        <x:v>Airline/Rail</x:v>
      </x:c>
      <x:c r="C53" s="49" t="str">
        <x:v>Airline loyalty co-brand partner</x:v>
      </x:c>
      <x:c r="D53" s="49" t="str">
        <x:v>Cardless / First Electronic Bank</x:v>
      </x:c>
      <x:c r="E53" s="49" t="str">
        <x:v>LATAM Airlines credit card by Cardless</x:v>
      </x:c>
      <x:c r="F53" s="49" t="str">
        <x:v>https://latamairlines.cardless.com/</x:v>
      </x:c>
      <x:c r="G53" s="49" t="str">
        <x:v>https://www.latamairlines.com/us/en/latam-pass/earn-miles/credit-card</x:v>
      </x:c>
      <x:c r="H53" s="49" t="str">
        <x:v>Official Cardless LATAM page and LATAM Pass card page.</x:v>
      </x:c>
      <x:c r="I53" s="49" t="str">
        <x:v>Current public co-brand page</x:v>
      </x:c>
      <x:c r="J53" s="49" t="str">
        <x:v>Medium</x:v>
      </x:c>
      <x:c r="K53" s="49" t="str">
        <x:v>2026-05-30</x:v>
      </x:c>
      <x:c r="L53" s="50" t="str"/>
    </x:row>
    <x:row r="54">
      <x:c r="A54" s="48" t="str">
        <x:v>Avianca LifeMiles</x:v>
      </x:c>
      <x:c r="B54" s="49" t="str">
        <x:v>Airline/Rail</x:v>
      </x:c>
      <x:c r="C54" s="49" t="str">
        <x:v>Airline loyalty co-brand partner</x:v>
      </x:c>
      <x:c r="D54" s="49" t="str">
        <x:v>Cardless / First Electronic Bank</x:v>
      </x:c>
      <x:c r="E54" s="49" t="str">
        <x:v>LifeMiles American Express Card, LifeMiles Elite American Express Card</x:v>
      </x:c>
      <x:c r="F54" s="49" t="str">
        <x:v>https://lifemiles.cardless.com/</x:v>
      </x:c>
      <x:c r="G54" s="49" t="str">
        <x:v>https://www.lifemiles.com/earn/credit-card</x:v>
      </x:c>
      <x:c r="H54" s="49" t="str">
        <x:v>Official Cardless LifeMiles page and LifeMiles earn/card page.</x:v>
      </x:c>
      <x:c r="I54" s="49" t="str">
        <x:v>Current public co-brand page</x:v>
      </x:c>
      <x:c r="J54" s="49" t="str">
        <x:v>Medium</x:v>
      </x:c>
      <x:c r="K54" s="49" t="str">
        <x:v>2026-05-30</x:v>
      </x:c>
      <x:c r="L54" s="50" t="str"/>
    </x:row>
    <x:row r="55">
      <x:c r="A55" s="48" t="str">
        <x:v>TAP Miles&amp;Go</x:v>
      </x:c>
      <x:c r="B55" s="49" t="str">
        <x:v>Airline/Rail</x:v>
      </x:c>
      <x:c r="C55" s="49" t="str">
        <x:v>Airline loyalty co-brand partner</x:v>
      </x:c>
      <x:c r="D55" s="49" t="str">
        <x:v>Cardless / First Electronic Bank</x:v>
      </x:c>
      <x:c r="E55" s="49" t="str">
        <x:v>TAP Miles&amp;Go American Express Card</x:v>
      </x:c>
      <x:c r="F55" s="49" t="str">
        <x:v>https://tap.cardless.com/</x:v>
      </x:c>
      <x:c r="G55" s="49" t="str">
        <x:v>https://www.flytap.com/en-us/miles-and-go/partners/cardless</x:v>
      </x:c>
      <x:c r="H55" s="49" t="str">
        <x:v>Official Cardless TAP page and TAP partner page.</x:v>
      </x:c>
      <x:c r="I55" s="49" t="str">
        <x:v>Current or recent public co-brand page</x:v>
      </x:c>
      <x:c r="J55" s="49" t="str">
        <x:v>Low</x:v>
      </x:c>
      <x:c r="K55" s="49" t="str">
        <x:v>2026-05-30</x:v>
      </x:c>
      <x:c r="L55" s="50" t="str"/>
    </x:row>
    <x:row r="56">
      <x:c r="A56" s="48" t="str">
        <x:v>Turkish Airlines Miles&amp;Smiles</x:v>
      </x:c>
      <x:c r="B56" s="49" t="str">
        <x:v>Airline/Rail</x:v>
      </x:c>
      <x:c r="C56" s="49" t="str">
        <x:v>Airline loyalty co-brand partner</x:v>
      </x:c>
      <x:c r="D56" s="49" t="str">
        <x:v>Cardless / First Electronic Bank</x:v>
      </x:c>
      <x:c r="E56" s="49" t="str">
        <x:v>Miles&amp;Smiles Premier Visa Signature Card</x:v>
      </x:c>
      <x:c r="F56" s="49" t="str">
        <x:v>https://turkishairlines.cardless.com/</x:v>
      </x:c>
      <x:c r="G56" s="49" t="str">
        <x:v>https://www.turkishairlines.com/en-us/miles-and-smiles/credit-card/</x:v>
      </x:c>
      <x:c r="H56" s="49" t="str">
        <x:v>Official Cardless Turkish Airlines page and Turkish Airlines credit card page.</x:v>
      </x:c>
      <x:c r="I56" s="49" t="str">
        <x:v>Current or recent public co-brand page</x:v>
      </x:c>
      <x:c r="J56" s="49" t="str">
        <x:v>Low</x:v>
      </x:c>
      <x:c r="K56" s="49" t="str">
        <x:v>2026-05-30</x:v>
      </x:c>
      <x:c r="L56" s="50" t="str"/>
    </x:row>
    <x:row r="57">
      <x:c r="A57" s="48" t="str">
        <x:v>Korean Air SKYPASS</x:v>
      </x:c>
      <x:c r="B57" s="49" t="str">
        <x:v>Airline/Rail</x:v>
      </x:c>
      <x:c r="C57" s="49" t="str">
        <x:v>Airline loyalty co-brand partner</x:v>
      </x:c>
      <x:c r="D57" s="49" t="str">
        <x:v>U.S. Bank</x:v>
      </x:c>
      <x:c r="E57" s="49" t="str">
        <x:v>SKYPASS Visa Signature, Select, Business</x:v>
      </x:c>
      <x:c r="F57" s="49" t="str">
        <x:v>https://www.skypassvisa.com/</x:v>
      </x:c>
      <x:c r="G57" s="49" t="str">
        <x:v>https://www.usbank.com/credit-cards/korean-airlines-visa-signature-credit-card.html</x:v>
      </x:c>
      <x:c r="H57" s="49" t="str">
        <x:v>Official SKYPASS Visa microsite and U.S. Bank product page.</x:v>
      </x:c>
      <x:c r="I57" s="49" t="str">
        <x:v>Current public co-brand page</x:v>
      </x:c>
      <x:c r="J57" s="49" t="str">
        <x:v>Medium</x:v>
      </x:c>
      <x:c r="K57" s="49" t="str">
        <x:v>2026-05-30</x:v>
      </x:c>
      <x:c r="L57" s="50" t="str"/>
    </x:row>
    <x:row r="58">
      <x:c r="A58" s="48" t="str">
        <x:v>Amtrak Guest Rewards</x:v>
      </x:c>
      <x:c r="B58" s="49" t="str">
        <x:v>Airline/Rail</x:v>
      </x:c>
      <x:c r="C58" s="49" t="str">
        <x:v>Rail loyalty co-brand partner</x:v>
      </x:c>
      <x:c r="D58" s="49" t="str">
        <x:v>FNBO</x:v>
      </x:c>
      <x:c r="E58" s="49" t="str">
        <x:v>Amtrak Guest Rewards Preferred Mastercard, no-fee Mastercard</x:v>
      </x:c>
      <x:c r="F58" s="49" t="str">
        <x:v>https://www.amtrak.com/guestrewards/apply</x:v>
      </x:c>
      <x:c r="G58" s="49" t="str">
        <x:v>https://www.fnbo.com/personal-banking/credit-cards/amtrak-guest-rewards</x:v>
      </x:c>
      <x:c r="H58" s="49" t="str">
        <x:v>Official Amtrak Guest Rewards application path and FNBO partner-card page.</x:v>
      </x:c>
      <x:c r="I58" s="49" t="str">
        <x:v>Current public co-brand page</x:v>
      </x:c>
      <x:c r="J58" s="49" t="str">
        <x:v>Medium</x:v>
      </x:c>
      <x:c r="K58" s="49" t="str">
        <x:v>2026-05-30</x:v>
      </x:c>
      <x:c r="L58" s="50" t="str">
        <x:v>Rail, not airline, but relevant travel rewards issuer target.</x:v>
      </x:c>
    </x:row>
    <x:row r="59">
      <x:c r="A59" s="48" t="str">
        <x:v>Marriott Bonvoy</x:v>
      </x:c>
      <x:c r="B59" s="49" t="str">
        <x:v>Hotel/Travel/Lodging</x:v>
      </x:c>
      <x:c r="C59" s="49" t="str">
        <x:v>Hotel co-brand partner</x:v>
      </x:c>
      <x:c r="D59" s="49" t="str">
        <x:v>JPMorgan Chase and American Express</x:v>
      </x:c>
      <x:c r="E59" s="49" t="str">
        <x:v>Boundless, Bold, Bountiful, Brilliant, Bevy, business cards</x:v>
      </x:c>
      <x:c r="F59" s="49" t="str">
        <x:v>https://www.marriott.com/credit-cards.mi</x:v>
      </x:c>
      <x:c r="G59" s="49" t="str">
        <x:v>https://creditcards.chase.com/travel-credit-cards/marriott-bonvoy</x:v>
      </x:c>
      <x:c r="H59" s="49" t="str">
        <x:v>Official Marriott credit card page plus Chase/Amex co-brand pages.</x:v>
      </x:c>
      <x:c r="I59" s="49" t="str">
        <x:v>Current public co-brand page</x:v>
      </x:c>
      <x:c r="J59" s="49" t="str">
        <x:v>High</x:v>
      </x:c>
      <x:c r="K59" s="49" t="str">
        <x:v>2026-05-30</x:v>
      </x:c>
      <x:c r="L59" s="50" t="str">
        <x:v>Multiple issuers; capture product/channel separately.</x:v>
      </x:c>
    </x:row>
    <x:row r="60">
      <x:c r="A60" s="48" t="str">
        <x:v>Hilton Honors</x:v>
      </x:c>
      <x:c r="B60" s="49" t="str">
        <x:v>Hotel/Travel/Lodging</x:v>
      </x:c>
      <x:c r="C60" s="49" t="str">
        <x:v>Hotel co-brand partner</x:v>
      </x:c>
      <x:c r="D60" s="49" t="str">
        <x:v>American Express</x:v>
      </x:c>
      <x:c r="E60" s="49" t="str">
        <x:v>Hilton Honors, Surpass, Aspire, Hilton business card</x:v>
      </x:c>
      <x:c r="F60" s="49" t="str">
        <x:v>https://www.hilton.com/en/hilton-honors/credit-cards/</x:v>
      </x:c>
      <x:c r="G60" s="49" t="str">
        <x:v>https://www.americanexpress.com/us/credit-cards/card/hilton-honors-surpass/</x:v>
      </x:c>
      <x:c r="H60" s="49" t="str">
        <x:v>Official Hilton Honors and Amex card pages.</x:v>
      </x:c>
      <x:c r="I60" s="49" t="str">
        <x:v>Current public co-brand page</x:v>
      </x:c>
      <x:c r="J60" s="49" t="str">
        <x:v>High</x:v>
      </x:c>
      <x:c r="K60" s="49" t="str">
        <x:v>2026-05-30</x:v>
      </x:c>
      <x:c r="L60" s="50" t="str"/>
    </x:row>
    <x:row r="61">
      <x:c r="A61" s="48" t="str">
        <x:v>World of Hyatt</x:v>
      </x:c>
      <x:c r="B61" s="49" t="str">
        <x:v>Hotel/Travel/Lodging</x:v>
      </x:c>
      <x:c r="C61" s="49" t="str">
        <x:v>Hotel co-brand partner</x:v>
      </x:c>
      <x:c r="D61" s="49" t="str">
        <x:v>JPMorgan Chase</x:v>
      </x:c>
      <x:c r="E61" s="49" t="str">
        <x:v>World of Hyatt Credit Card, World of Hyatt Business Credit Card</x:v>
      </x:c>
      <x:c r="F61" s="49" t="str">
        <x:v>https://world.hyatt.com/content/gp/en/rewards/credit-card.html</x:v>
      </x:c>
      <x:c r="G61" s="49" t="str">
        <x:v>https://creditcards.chase.com/travel-credit-cards/world-of-hyatt-credit-card</x:v>
      </x:c>
      <x:c r="H61" s="49" t="str">
        <x:v>Official Hyatt and Chase co-brand pages.</x:v>
      </x:c>
      <x:c r="I61" s="49" t="str">
        <x:v>Current public co-brand page</x:v>
      </x:c>
      <x:c r="J61" s="49" t="str">
        <x:v>High</x:v>
      </x:c>
      <x:c r="K61" s="49" t="str">
        <x:v>2026-05-30</x:v>
      </x:c>
      <x:c r="L61" s="50" t="str"/>
    </x:row>
    <x:row r="62">
      <x:c r="A62" s="48" t="str">
        <x:v>IHG One Rewards</x:v>
      </x:c>
      <x:c r="B62" s="49" t="str">
        <x:v>Hotel/Travel/Lodging</x:v>
      </x:c>
      <x:c r="C62" s="49" t="str">
        <x:v>Hotel co-brand partner</x:v>
      </x:c>
      <x:c r="D62" s="49" t="str">
        <x:v>JPMorgan Chase</x:v>
      </x:c>
      <x:c r="E62" s="49" t="str">
        <x:v>IHG Premier, Traveler, Premier Business</x:v>
      </x:c>
      <x:c r="F62" s="49" t="str">
        <x:v>https://www.ihg.com/onerewards/content/us/en/creditcard</x:v>
      </x:c>
      <x:c r="G62" s="49" t="str">
        <x:v>https://creditcards.chase.com/travel-credit-cards/ihg</x:v>
      </x:c>
      <x:c r="H62" s="49" t="str">
        <x:v>Official IHG and Chase co-brand pages.</x:v>
      </x:c>
      <x:c r="I62" s="49" t="str">
        <x:v>Current public co-brand page</x:v>
      </x:c>
      <x:c r="J62" s="49" t="str">
        <x:v>High</x:v>
      </x:c>
      <x:c r="K62" s="49" t="str">
        <x:v>2026-05-30</x:v>
      </x:c>
      <x:c r="L62" s="50" t="str"/>
    </x:row>
    <x:row r="63">
      <x:c r="A63" s="48" t="str">
        <x:v>Wyndham Rewards</x:v>
      </x:c>
      <x:c r="B63" s="49" t="str">
        <x:v>Hotel/Travel/Lodging</x:v>
      </x:c>
      <x:c r="C63" s="49" t="str">
        <x:v>Hotel co-brand partner</x:v>
      </x:c>
      <x:c r="D63" s="49" t="str">
        <x:v>Barclays Bank Delaware</x:v>
      </x:c>
      <x:c r="E63" s="49" t="str">
        <x:v>Wyndham Rewards Earner, Earner Plus, Earner Business</x:v>
      </x:c>
      <x:c r="F63" s="49" t="str">
        <x:v>https://www.wyndhamrewardscreditcard.com/</x:v>
      </x:c>
      <x:c r="G63" s="49" t="str">
        <x:v>https://cards.barclaycardus.com/banking/cards/wyndham-rewards-earner-card/</x:v>
      </x:c>
      <x:c r="H63" s="49" t="str">
        <x:v>Official Wyndham Rewards credit card microsite and Barclays product path.</x:v>
      </x:c>
      <x:c r="I63" s="49" t="str">
        <x:v>Current public co-brand page</x:v>
      </x:c>
      <x:c r="J63" s="49" t="str">
        <x:v>Medium</x:v>
      </x:c>
      <x:c r="K63" s="49" t="str">
        <x:v>2026-05-30</x:v>
      </x:c>
      <x:c r="L63" s="50" t="str"/>
    </x:row>
    <x:row r="64">
      <x:c r="A64" s="48" t="str">
        <x:v>Choice Privileges</x:v>
      </x:c>
      <x:c r="B64" s="49" t="str">
        <x:v>Hotel/Travel/Lodging</x:v>
      </x:c>
      <x:c r="C64" s="49" t="str">
        <x:v>Hotel co-brand partner</x:v>
      </x:c>
      <x:c r="D64" s="49" t="str">
        <x:v>Wells Fargo</x:v>
      </x:c>
      <x:c r="E64" s="49" t="str">
        <x:v>Choice Privileges Mastercard, Select Mastercard</x:v>
      </x:c>
      <x:c r="F64" s="49" t="str">
        <x:v>https://www.choicehotels.com/choice-privileges/rewards/credit-card</x:v>
      </x:c>
      <x:c r="G64" s="49" t="str">
        <x:v>https://www.wellsfargo.com/credit-cards/choice-privileges/</x:v>
      </x:c>
      <x:c r="H64" s="49" t="str">
        <x:v>Official Choice Hotels and Wells Fargo co-brand pages.</x:v>
      </x:c>
      <x:c r="I64" s="49" t="str">
        <x:v>Current public co-brand page</x:v>
      </x:c>
      <x:c r="J64" s="49" t="str">
        <x:v>Medium</x:v>
      </x:c>
      <x:c r="K64" s="49" t="str">
        <x:v>2026-05-30</x:v>
      </x:c>
      <x:c r="L64" s="50" t="str"/>
    </x:row>
    <x:row r="65">
      <x:c r="A65" s="48" t="str">
        <x:v>Best Western Rewards</x:v>
      </x:c>
      <x:c r="B65" s="49" t="str">
        <x:v>Hotel/Travel/Lodging</x:v>
      </x:c>
      <x:c r="C65" s="49" t="str">
        <x:v>Hotel co-brand partner</x:v>
      </x:c>
      <x:c r="D65" s="49" t="str">
        <x:v>First Bank &amp; Trust / Mercury Financial servicing</x:v>
      </x:c>
      <x:c r="E65" s="49" t="str">
        <x:v>Best Western Rewards Mastercard, Premium Mastercard</x:v>
      </x:c>
      <x:c r="F65" s="49" t="str">
        <x:v>https://www.bestwestern.com/en_US/best-western-rewards/mastercard.html</x:v>
      </x:c>
      <x:c r="G65" s="49" t="str">
        <x:v>https://www.bwrcard.com/</x:v>
      </x:c>
      <x:c r="H65" s="49" t="str">
        <x:v>Official Best Western Rewards Mastercard page and card microsite.</x:v>
      </x:c>
      <x:c r="I65" s="49" t="str">
        <x:v>Current or recent public co-brand page</x:v>
      </x:c>
      <x:c r="J65" s="49" t="str">
        <x:v>Low</x:v>
      </x:c>
      <x:c r="K65" s="49" t="str">
        <x:v>2026-05-30</x:v>
      </x:c>
      <x:c r="L65" s="50" t="str">
        <x:v>Verify current issuer and application availability before offer scrape.</x:v>
      </x:c>
    </x:row>
    <x:row r="66">
      <x:c r="A66" s="48" t="str">
        <x:v>Sonesta Travel Pass</x:v>
      </x:c>
      <x:c r="B66" s="49" t="str">
        <x:v>Hotel/Travel/Lodging</x:v>
      </x:c>
      <x:c r="C66" s="49" t="str">
        <x:v>Hotel co-brand partner</x:v>
      </x:c>
      <x:c r="D66" s="49" t="str">
        <x:v>Bank of America</x:v>
      </x:c>
      <x:c r="E66" s="49" t="str">
        <x:v>Sonesta World Mastercard</x:v>
      </x:c>
      <x:c r="F66" s="49" t="str">
        <x:v>https://www.sonesta.com/sonesta-travel-pass/credit-card</x:v>
      </x:c>
      <x:c r="G66" s="49" t="str">
        <x:v>https://www.bankofamerica.com/credit-cards/products/sonesta-credit-card/</x:v>
      </x:c>
      <x:c r="H66" s="49" t="str">
        <x:v>Official Sonesta and Bank of America co-brand pages.</x:v>
      </x:c>
      <x:c r="I66" s="49" t="str">
        <x:v>Current or recent public co-brand page</x:v>
      </x:c>
      <x:c r="J66" s="49" t="str">
        <x:v>Low</x:v>
      </x:c>
      <x:c r="K66" s="49" t="str">
        <x:v>2026-05-30</x:v>
      </x:c>
      <x:c r="L66" s="50" t="str"/>
    </x:row>
    <x:row r="67">
      <x:c r="A67" s="48" t="str">
        <x:v>Caesars Rewards</x:v>
      </x:c>
      <x:c r="B67" s="49" t="str">
        <x:v>Hotel/Travel/Lodging</x:v>
      </x:c>
      <x:c r="C67" s="49" t="str">
        <x:v>Casino/hotel rewards co-brand partner</x:v>
      </x:c>
      <x:c r="D67" s="49" t="str">
        <x:v>Comenity Bank</x:v>
      </x:c>
      <x:c r="E67" s="49" t="str">
        <x:v>Caesars Rewards Visa</x:v>
      </x:c>
      <x:c r="F67" s="49" t="str">
        <x:v>https://www.caesars.com/myrewards/partners/cr-visa-card</x:v>
      </x:c>
      <x:c r="G67" s="49" t="str">
        <x:v>https://www.caesarsrewardsvisa.com/</x:v>
      </x:c>
      <x:c r="H67" s="49" t="str">
        <x:v>Official Caesars Rewards Visa and Comenity-linked card pages.</x:v>
      </x:c>
      <x:c r="I67" s="49" t="str">
        <x:v>Current public co-brand page</x:v>
      </x:c>
      <x:c r="J67" s="49" t="str">
        <x:v>Medium</x:v>
      </x:c>
      <x:c r="K67" s="49" t="str">
        <x:v>2026-05-30</x:v>
      </x:c>
      <x:c r="L67" s="50" t="str"/>
    </x:row>
    <x:row r="68">
      <x:c r="A68" s="48" t="str">
        <x:v>MGM Rewards</x:v>
      </x:c>
      <x:c r="B68" s="49" t="str">
        <x:v>Hotel/Travel/Lodging</x:v>
      </x:c>
      <x:c r="C68" s="49" t="str">
        <x:v>Casino/hotel rewards co-brand partner</x:v>
      </x:c>
      <x:c r="D68" s="49" t="str">
        <x:v>FNBO</x:v>
      </x:c>
      <x:c r="E68" s="49" t="str">
        <x:v>MGM Rewards Mastercard</x:v>
      </x:c>
      <x:c r="F68" s="49" t="str">
        <x:v>https://www.mgmrewards.com/en/mgm-rewards-mastercard.html</x:v>
      </x:c>
      <x:c r="G68" s="49" t="str">
        <x:v>https://www.fnbo.com/personal-banking/credit-cards/mgm-rewards-mastercard</x:v>
      </x:c>
      <x:c r="H68" s="49" t="str">
        <x:v>Official MGM Rewards and FNBO co-brand pages.</x:v>
      </x:c>
      <x:c r="I68" s="49" t="str">
        <x:v>Current public co-brand page</x:v>
      </x:c>
      <x:c r="J68" s="49" t="str">
        <x:v>Medium</x:v>
      </x:c>
      <x:c r="K68" s="49" t="str">
        <x:v>2026-05-30</x:v>
      </x:c>
      <x:c r="L68" s="50" t="str"/>
    </x:row>
    <x:row r="69">
      <x:c r="A69" s="48" t="str">
        <x:v>Disney Rewards</x:v>
      </x:c>
      <x:c r="B69" s="49" t="str">
        <x:v>Hotel/Travel/Lodging</x:v>
      </x:c>
      <x:c r="C69" s="49" t="str">
        <x:v>Entertainment/travel co-brand partner</x:v>
      </x:c>
      <x:c r="D69" s="49" t="str">
        <x:v>JPMorgan Chase</x:v>
      </x:c>
      <x:c r="E69" s="49" t="str">
        <x:v>Disney Visa Card, Disney Premier Visa Card</x:v>
      </x:c>
      <x:c r="F69" s="49" t="str">
        <x:v>https://disneyrewards.com/credit-cards/</x:v>
      </x:c>
      <x:c r="G69" s="49" t="str">
        <x:v>https://creditcards.chase.com/rewards-credit-cards/disney</x:v>
      </x:c>
      <x:c r="H69" s="49" t="str">
        <x:v>Official Disney Rewards and Chase co-brand pages.</x:v>
      </x:c>
      <x:c r="I69" s="49" t="str">
        <x:v>Current public co-brand page</x:v>
      </x:c>
      <x:c r="J69" s="49" t="str">
        <x:v>Medium</x:v>
      </x:c>
      <x:c r="K69" s="49" t="str">
        <x:v>2026-05-30</x:v>
      </x:c>
      <x:c r="L69" s="50" t="str"/>
    </x:row>
    <x:row r="70">
      <x:c r="A70" s="48" t="str">
        <x:v>Universal Orlando Resort</x:v>
      </x:c>
      <x:c r="B70" s="49" t="str">
        <x:v>Hotel/Travel/Lodging</x:v>
      </x:c>
      <x:c r="C70" s="49" t="str">
        <x:v>Entertainment/travel co-brand partner</x:v>
      </x:c>
      <x:c r="D70" s="49" t="str">
        <x:v>FNBO</x:v>
      </x:c>
      <x:c r="E70" s="49" t="str">
        <x:v>Universal Rewards Plus Visa Signature Card</x:v>
      </x:c>
      <x:c r="F70" s="49" t="str">
        <x:v>https://www.universalorlando.com/web/en/us/tickets-packages/universal-rewards-visa</x:v>
      </x:c>
      <x:c r="G70" s="49" t="str">
        <x:v>https://www.fnbo.com/personal-banking/credit-cards/universal-rewards-visa-signature-card</x:v>
      </x:c>
      <x:c r="H70" s="49" t="str">
        <x:v>Official Universal Orlando and FNBO co-brand pages.</x:v>
      </x:c>
      <x:c r="I70" s="49" t="str">
        <x:v>Current public co-brand page</x:v>
      </x:c>
      <x:c r="J70" s="49" t="str">
        <x:v>Low</x:v>
      </x:c>
      <x:c r="K70" s="49" t="str">
        <x:v>2026-05-30</x:v>
      </x:c>
      <x:c r="L70" s="50" t="str"/>
    </x:row>
    <x:row r="71">
      <x:c r="A71" s="48" t="str">
        <x:v>Carnival Cruise Line</x:v>
      </x:c>
      <x:c r="B71" s="49" t="str">
        <x:v>Hotel/Travel/Lodging</x:v>
      </x:c>
      <x:c r="C71" s="49" t="str">
        <x:v>Cruise/travel co-brand partner</x:v>
      </x:c>
      <x:c r="D71" s="49" t="str">
        <x:v>Barclays Bank Delaware</x:v>
      </x:c>
      <x:c r="E71" s="49" t="str">
        <x:v>Carnival World Mastercard</x:v>
      </x:c>
      <x:c r="F71" s="49" t="str">
        <x:v>https://www.carnival.com/credit-card</x:v>
      </x:c>
      <x:c r="G71" s="49" t="str">
        <x:v>https://cards.barclaycardus.com/banking/cards/carnival-world-mastercard/</x:v>
      </x:c>
      <x:c r="H71" s="49" t="str">
        <x:v>Official Carnival and Barclays card pages.</x:v>
      </x:c>
      <x:c r="I71" s="49" t="str">
        <x:v>Current or recent public co-brand page</x:v>
      </x:c>
      <x:c r="J71" s="49" t="str">
        <x:v>Low</x:v>
      </x:c>
      <x:c r="K71" s="49" t="str">
        <x:v>2026-05-30</x:v>
      </x:c>
      <x:c r="L71" s="50" t="str"/>
    </x:row>
    <x:row r="72">
      <x:c r="A72" s="48" t="str">
        <x:v>Princess Cruises</x:v>
      </x:c>
      <x:c r="B72" s="49" t="str">
        <x:v>Hotel/Travel/Lodging</x:v>
      </x:c>
      <x:c r="C72" s="49" t="str">
        <x:v>Cruise/travel co-brand partner</x:v>
      </x:c>
      <x:c r="D72" s="49" t="str">
        <x:v>Barclays Bank Delaware</x:v>
      </x:c>
      <x:c r="E72" s="49" t="str">
        <x:v>Princess Cruises Rewards Visa Card</x:v>
      </x:c>
      <x:c r="F72" s="49" t="str">
        <x:v>https://www.princess.com/plan/princess-rewards-visa-card/</x:v>
      </x:c>
      <x:c r="G72" s="49" t="str">
        <x:v>https://cards.barclaycardus.com/banking/cards/princess-cruises-rewards-visa-card/</x:v>
      </x:c>
      <x:c r="H72" s="49" t="str">
        <x:v>Official Princess and Barclays card pages.</x:v>
      </x:c>
      <x:c r="I72" s="49" t="str">
        <x:v>Current or recent public co-brand page</x:v>
      </x:c>
      <x:c r="J72" s="49" t="str">
        <x:v>Low</x:v>
      </x:c>
      <x:c r="K72" s="49" t="str">
        <x:v>2026-05-30</x:v>
      </x:c>
      <x:c r="L72" s="50" t="str"/>
    </x:row>
    <x:row r="73">
      <x:c r="A73" s="48" t="str">
        <x:v>Norwegian Cruise Line</x:v>
      </x:c>
      <x:c r="B73" s="49" t="str">
        <x:v>Hotel/Travel/Lodging</x:v>
      </x:c>
      <x:c r="C73" s="49" t="str">
        <x:v>Cruise/travel co-brand partner</x:v>
      </x:c>
      <x:c r="D73" s="49" t="str">
        <x:v>Bank of America</x:v>
      </x:c>
      <x:c r="E73" s="49" t="str">
        <x:v>Norwegian Cruise Line World Mastercard</x:v>
      </x:c>
      <x:c r="F73" s="49" t="str">
        <x:v>https://www.ncl.com/world-points</x:v>
      </x:c>
      <x:c r="G73" s="49" t="str">
        <x:v>https://www.bankofamerica.com/credit-cards/products/norwegian-cruise-line-credit-card/</x:v>
      </x:c>
      <x:c r="H73" s="49" t="str">
        <x:v>Official Norwegian WorldPoints and Bank of America card pages.</x:v>
      </x:c>
      <x:c r="I73" s="49" t="str">
        <x:v>Current public co-brand page</x:v>
      </x:c>
      <x:c r="J73" s="49" t="str">
        <x:v>Low</x:v>
      </x:c>
      <x:c r="K73" s="49" t="str">
        <x:v>2026-05-30</x:v>
      </x:c>
      <x:c r="L73" s="50" t="str"/>
    </x:row>
    <x:row r="74">
      <x:c r="A74" s="48" t="str">
        <x:v>Royal Caribbean</x:v>
      </x:c>
      <x:c r="B74" s="49" t="str">
        <x:v>Hotel/Travel/Lodging</x:v>
      </x:c>
      <x:c r="C74" s="49" t="str">
        <x:v>Cruise/travel co-brand partner</x:v>
      </x:c>
      <x:c r="D74" s="49" t="str">
        <x:v>Bank of America</x:v>
      </x:c>
      <x:c r="E74" s="49" t="str">
        <x:v>Royal Caribbean Visa Signature</x:v>
      </x:c>
      <x:c r="F74" s="49" t="str">
        <x:v>https://www.royalcaribbean.com/visa-signature-card</x:v>
      </x:c>
      <x:c r="G74" s="49" t="str">
        <x:v>https://www.bankofamerica.com/credit-cards/products/royal-caribbean-credit-card/</x:v>
      </x:c>
      <x:c r="H74" s="49" t="str">
        <x:v>Official Royal Caribbean and Bank of America card pages.</x:v>
      </x:c>
      <x:c r="I74" s="49" t="str">
        <x:v>Current public co-brand page</x:v>
      </x:c>
      <x:c r="J74" s="49" t="str">
        <x:v>Low</x:v>
      </x:c>
      <x:c r="K74" s="49" t="str">
        <x:v>2026-05-30</x:v>
      </x:c>
      <x:c r="L74" s="50" t="str"/>
    </x:row>
    <x:row r="75">
      <x:c r="A75" s="48" t="str">
        <x:v>Celebrity Cruises</x:v>
      </x:c>
      <x:c r="B75" s="49" t="str">
        <x:v>Hotel/Travel/Lodging</x:v>
      </x:c>
      <x:c r="C75" s="49" t="str">
        <x:v>Cruise/travel co-brand partner</x:v>
      </x:c>
      <x:c r="D75" s="49" t="str">
        <x:v>Bank of America</x:v>
      </x:c>
      <x:c r="E75" s="49" t="str">
        <x:v>Celebrity Cruises Visa Signature</x:v>
      </x:c>
      <x:c r="F75" s="49" t="str">
        <x:v>https://www.celebritycruises.com/visa-signature-card</x:v>
      </x:c>
      <x:c r="G75" s="49" t="str">
        <x:v>https://www.bankofamerica.com/credit-cards/products/celebrity-cruises-credit-card/</x:v>
      </x:c>
      <x:c r="H75" s="49" t="str">
        <x:v>Official Celebrity and Bank of America card pages.</x:v>
      </x:c>
      <x:c r="I75" s="49" t="str">
        <x:v>Current public co-brand page</x:v>
      </x:c>
      <x:c r="J75" s="49" t="str">
        <x:v>Low</x:v>
      </x:c>
      <x:c r="K75" s="49" t="str">
        <x:v>2026-05-30</x:v>
      </x:c>
      <x:c r="L75" s="50" t="str"/>
    </x:row>
    <x:row r="76">
      <x:c r="A76" s="48" t="str">
        <x:v>Expedia One Key</x:v>
      </x:c>
      <x:c r="B76" s="49" t="str">
        <x:v>Hotel/Travel/Lodging</x:v>
      </x:c>
      <x:c r="C76" s="49" t="str">
        <x:v>Travel marketplace co-brand partner</x:v>
      </x:c>
      <x:c r="D76" s="49" t="str">
        <x:v>Wells Fargo</x:v>
      </x:c>
      <x:c r="E76" s="49" t="str">
        <x:v>One Key Card, One Key+ Card</x:v>
      </x:c>
      <x:c r="F76" s="49" t="str">
        <x:v>https://www.expedia.com/one-key-cards</x:v>
      </x:c>
      <x:c r="G76" s="49" t="str">
        <x:v>https://www.wellsfargo.com/credit-cards/one-key/</x:v>
      </x:c>
      <x:c r="H76" s="49" t="str">
        <x:v>Official Expedia One Key and Wells Fargo card pages.</x:v>
      </x:c>
      <x:c r="I76" s="49" t="str">
        <x:v>Current public co-brand page</x:v>
      </x:c>
      <x:c r="J76" s="49" t="str">
        <x:v>Medium</x:v>
      </x:c>
      <x:c r="K76" s="49" t="str">
        <x:v>2026-05-30</x:v>
      </x:c>
      <x:c r="L76" s="50" t="str">
        <x:v>Covers Expedia, Hotels.com, and Vrbo One Key ecosystem.</x:v>
      </x:c>
    </x:row>
    <x:row r="77">
      <x:c r="A77" s="48" t="str">
        <x:v>Costco Wholesale</x:v>
      </x:c>
      <x:c r="B77" s="49" t="str">
        <x:v>Grocery/Warehouse/Food Delivery</x:v>
      </x:c>
      <x:c r="C77" s="49" t="str">
        <x:v>Warehouse club co-brand partner</x:v>
      </x:c>
      <x:c r="D77" s="49" t="str">
        <x:v>Citi</x:v>
      </x:c>
      <x:c r="E77" s="49" t="str">
        <x:v>Costco Anywhere Visa Card by Citi</x:v>
      </x:c>
      <x:c r="F77" s="49" t="str">
        <x:v>https://www.costco.com/credit-card.html</x:v>
      </x:c>
      <x:c r="G77" s="49" t="str">
        <x:v>https://www.citi.com/credit-cards/citi-costco-anywhere-visa-credit-card</x:v>
      </x:c>
      <x:c r="H77" s="49" t="str">
        <x:v>Official Costco and Citi co-brand pages.</x:v>
      </x:c>
      <x:c r="I77" s="49" t="str">
        <x:v>Current public co-brand page</x:v>
      </x:c>
      <x:c r="J77" s="49" t="str">
        <x:v>High</x:v>
      </x:c>
      <x:c r="K77" s="49" t="str">
        <x:v>2026-05-30</x:v>
      </x:c>
      <x:c r="L77" s="50" t="str"/>
    </x:row>
    <x:row r="78">
      <x:c r="A78" s="48" t="str">
        <x:v>Sam's Club</x:v>
      </x:c>
      <x:c r="B78" s="49" t="str">
        <x:v>Grocery/Warehouse/Food Delivery</x:v>
      </x:c>
      <x:c r="C78" s="49" t="str">
        <x:v>Warehouse club co-brand partner</x:v>
      </x:c>
      <x:c r="D78" s="49" t="str">
        <x:v>Synchrony Bank</x:v>
      </x:c>
      <x:c r="E78" s="49" t="str">
        <x:v>Sam's Club Mastercard</x:v>
      </x:c>
      <x:c r="F78" s="49" t="str">
        <x:v>https://www.samsclub.com/content/credit</x:v>
      </x:c>
      <x:c r="G78" s="49" t="str">
        <x:v>https://www.synchrony.com/financing/sams-club</x:v>
      </x:c>
      <x:c r="H78" s="49" t="str">
        <x:v>Official Sam's Club and Synchrony card pages.</x:v>
      </x:c>
      <x:c r="I78" s="49" t="str">
        <x:v>Current public co-brand page</x:v>
      </x:c>
      <x:c r="J78" s="49" t="str">
        <x:v>High</x:v>
      </x:c>
      <x:c r="K78" s="49" t="str">
        <x:v>2026-05-30</x:v>
      </x:c>
      <x:c r="L78" s="50" t="str"/>
    </x:row>
    <x:row r="79">
      <x:c r="A79" s="48" t="str">
        <x:v>BJ's Wholesale Club</x:v>
      </x:c>
      <x:c r="B79" s="49" t="str">
        <x:v>Grocery/Warehouse/Food Delivery</x:v>
      </x:c>
      <x:c r="C79" s="49" t="str">
        <x:v>Warehouse club co-brand partner</x:v>
      </x:c>
      <x:c r="D79" s="49" t="str">
        <x:v>Capital One</x:v>
      </x:c>
      <x:c r="E79" s="49" t="str">
        <x:v>BJ's One Mastercard, BJ's One+ Mastercard</x:v>
      </x:c>
      <x:c r="F79" s="49" t="str">
        <x:v>https://www.bjs.com/credit-card</x:v>
      </x:c>
      <x:c r="G79" s="49" t="str">
        <x:v>https://www.capitalone.com/credit-cards/bjs-one-mastercard/</x:v>
      </x:c>
      <x:c r="H79" s="49" t="str">
        <x:v>Official BJ's and Capital One co-brand pages.</x:v>
      </x:c>
      <x:c r="I79" s="49" t="str">
        <x:v>Current public co-brand page</x:v>
      </x:c>
      <x:c r="J79" s="49" t="str">
        <x:v>High</x:v>
      </x:c>
      <x:c r="K79" s="49" t="str">
        <x:v>2026-05-30</x:v>
      </x:c>
      <x:c r="L79" s="50" t="str"/>
    </x:row>
    <x:row r="80">
      <x:c r="A80" s="48" t="str">
        <x:v>Kroger</x:v>
      </x:c>
      <x:c r="B80" s="49" t="str">
        <x:v>Grocery/Warehouse/Food Delivery</x:v>
      </x:c>
      <x:c r="C80" s="49" t="str">
        <x:v>Grocery co-brand partner</x:v>
      </x:c>
      <x:c r="D80" s="49" t="str">
        <x:v>U.S. Bank</x:v>
      </x:c>
      <x:c r="E80" s="49" t="str">
        <x:v>Kroger Rewards World Elite Mastercard</x:v>
      </x:c>
      <x:c r="F80" s="49" t="str">
        <x:v>https://www.krogermastercard.com/</x:v>
      </x:c>
      <x:c r="G80" s="49" t="str">
        <x:v>https://www.kroger.com/d/pr/credit-card</x:v>
      </x:c>
      <x:c r="H80" s="49" t="str">
        <x:v>Official Kroger Mastercard microsite and Kroger card page.</x:v>
      </x:c>
      <x:c r="I80" s="49" t="str">
        <x:v>Current public co-brand page</x:v>
      </x:c>
      <x:c r="J80" s="49" t="str">
        <x:v>High</x:v>
      </x:c>
      <x:c r="K80" s="49" t="str">
        <x:v>2026-05-30</x:v>
      </x:c>
      <x:c r="L80" s="50" t="str">
        <x:v>Kroger-family banners often have separate microsites with similar offers.</x:v>
      </x:c>
    </x:row>
    <x:row r="81">
      <x:c r="A81" s="48" t="str">
        <x:v>Harris Teeter</x:v>
      </x:c>
      <x:c r="B81" s="49" t="str">
        <x:v>Grocery/Warehouse/Food Delivery</x:v>
      </x:c>
      <x:c r="C81" s="49" t="str">
        <x:v>Grocery co-brand partner</x:v>
      </x:c>
      <x:c r="D81" s="49" t="str">
        <x:v>U.S. Bank</x:v>
      </x:c>
      <x:c r="E81" s="49" t="str">
        <x:v>Harris Teeter Rewards World Elite Mastercard</x:v>
      </x:c>
      <x:c r="F81" s="49" t="str">
        <x:v>https://www.htmastercard.com/</x:v>
      </x:c>
      <x:c r="G81" s="49" t="str">
        <x:v>https://www.harristeeter.com/pr/rewards-world-elite-mastercard</x:v>
      </x:c>
      <x:c r="H81" s="49" t="str">
        <x:v>Official Harris Teeter Mastercard microsite and banner page.</x:v>
      </x:c>
      <x:c r="I81" s="49" t="str">
        <x:v>Current public co-brand page</x:v>
      </x:c>
      <x:c r="J81" s="49" t="str">
        <x:v>Medium</x:v>
      </x:c>
      <x:c r="K81" s="49" t="str">
        <x:v>2026-05-30</x:v>
      </x:c>
      <x:c r="L81" s="50" t="str">
        <x:v>Kroger-family banner.</x:v>
      </x:c>
    </x:row>
    <x:row r="82">
      <x:c r="A82" s="48" t="str">
        <x:v>Fred Meyer</x:v>
      </x:c>
      <x:c r="B82" s="49" t="str">
        <x:v>Grocery/Warehouse/Food Delivery</x:v>
      </x:c>
      <x:c r="C82" s="49" t="str">
        <x:v>Grocery/general merchandise co-brand partner</x:v>
      </x:c>
      <x:c r="D82" s="49" t="str">
        <x:v>U.S. Bank</x:v>
      </x:c>
      <x:c r="E82" s="49" t="str">
        <x:v>Fred Meyer Rewards World Elite Mastercard</x:v>
      </x:c>
      <x:c r="F82" s="49" t="str">
        <x:v>https://www.fredmeyermastercard.com/</x:v>
      </x:c>
      <x:c r="G82" s="49" t="str">
        <x:v>https://www.fredmeyer.com/pr/rewards-world-elite-mastercard</x:v>
      </x:c>
      <x:c r="H82" s="49" t="str">
        <x:v>Official Fred Meyer Mastercard microsite and banner page.</x:v>
      </x:c>
      <x:c r="I82" s="49" t="str">
        <x:v>Current public co-brand page</x:v>
      </x:c>
      <x:c r="J82" s="49" t="str">
        <x:v>Medium</x:v>
      </x:c>
      <x:c r="K82" s="49" t="str">
        <x:v>2026-05-30</x:v>
      </x:c>
      <x:c r="L82" s="50" t="str">
        <x:v>Kroger-family banner.</x:v>
      </x:c>
    </x:row>
    <x:row r="83">
      <x:c r="A83" s="48" t="str">
        <x:v>Ralphs</x:v>
      </x:c>
      <x:c r="B83" s="49" t="str">
        <x:v>Grocery/Warehouse/Food Delivery</x:v>
      </x:c>
      <x:c r="C83" s="49" t="str">
        <x:v>Grocery co-brand partner</x:v>
      </x:c>
      <x:c r="D83" s="49" t="str">
        <x:v>U.S. Bank</x:v>
      </x:c>
      <x:c r="E83" s="49" t="str">
        <x:v>Ralphs Rewards World Elite Mastercard</x:v>
      </x:c>
      <x:c r="F83" s="49" t="str">
        <x:v>https://www.ralphsmastercard.com/</x:v>
      </x:c>
      <x:c r="G83" s="49" t="str">
        <x:v>https://www.ralphs.com/pr/rewards-world-elite-mastercard</x:v>
      </x:c>
      <x:c r="H83" s="49" t="str">
        <x:v>Official Ralphs Mastercard microsite and banner page.</x:v>
      </x:c>
      <x:c r="I83" s="49" t="str">
        <x:v>Current public co-brand page</x:v>
      </x:c>
      <x:c r="J83" s="49" t="str">
        <x:v>Medium</x:v>
      </x:c>
      <x:c r="K83" s="49" t="str">
        <x:v>2026-05-30</x:v>
      </x:c>
      <x:c r="L83" s="50" t="str">
        <x:v>Kroger-family banner.</x:v>
      </x:c>
    </x:row>
    <x:row r="84">
      <x:c r="A84" s="48" t="str">
        <x:v>King Soopers</x:v>
      </x:c>
      <x:c r="B84" s="49" t="str">
        <x:v>Grocery/Warehouse/Food Delivery</x:v>
      </x:c>
      <x:c r="C84" s="49" t="str">
        <x:v>Grocery co-brand partner</x:v>
      </x:c>
      <x:c r="D84" s="49" t="str">
        <x:v>U.S. Bank</x:v>
      </x:c>
      <x:c r="E84" s="49" t="str">
        <x:v>King Soopers Rewards World Elite Mastercard</x:v>
      </x:c>
      <x:c r="F84" s="49" t="str">
        <x:v>https://www.kingsoopersmastercard.com/</x:v>
      </x:c>
      <x:c r="G84" s="49" t="str">
        <x:v>https://www.kingsoopers.com/pr/rewards-world-elite-mastercard</x:v>
      </x:c>
      <x:c r="H84" s="49" t="str">
        <x:v>Official King Soopers Mastercard microsite and banner page.</x:v>
      </x:c>
      <x:c r="I84" s="49" t="str">
        <x:v>Current public co-brand page</x:v>
      </x:c>
      <x:c r="J84" s="49" t="str">
        <x:v>Medium</x:v>
      </x:c>
      <x:c r="K84" s="49" t="str">
        <x:v>2026-05-30</x:v>
      </x:c>
      <x:c r="L84" s="50" t="str">
        <x:v>Kroger-family banner.</x:v>
      </x:c>
    </x:row>
    <x:row r="85">
      <x:c r="A85" s="48" t="str">
        <x:v>Meijer</x:v>
      </x:c>
      <x:c r="B85" s="49" t="str">
        <x:v>Grocery/Warehouse/Food Delivery</x:v>
      </x:c>
      <x:c r="C85" s="49" t="str">
        <x:v>Grocery/general merchandise co-brand partner</x:v>
      </x:c>
      <x:c r="D85" s="49" t="str">
        <x:v>Citibank, N.A.</x:v>
      </x:c>
      <x:c r="E85" s="49" t="str">
        <x:v>Meijer Credit Card, Meijer Mastercard</x:v>
      </x:c>
      <x:c r="F85" s="49" t="str">
        <x:v>https://www.meijer.com/services/credit-card.html</x:v>
      </x:c>
      <x:c r="G85" s="49" t="str">
        <x:v>https://citiretailservices.citibankonline.com/RSnextgen/svc/launch/index.action?siteId=PLCN_MEIJER</x:v>
      </x:c>
      <x:c r="H85" s="49" t="str">
        <x:v>Official Meijer credit card page and Citi Retail Services servicing path.</x:v>
      </x:c>
      <x:c r="I85" s="49" t="str">
        <x:v>Current public co-brand page</x:v>
      </x:c>
      <x:c r="J85" s="49" t="str">
        <x:v>Medium</x:v>
      </x:c>
      <x:c r="K85" s="49" t="str">
        <x:v>2026-05-30</x:v>
      </x:c>
      <x:c r="L85" s="50" t="str"/>
    </x:row>
    <x:row r="86">
      <x:c r="A86" s="48" t="str">
        <x:v>Target</x:v>
      </x:c>
      <x:c r="B86" s="49" t="str">
        <x:v>Grocery/Warehouse/Food Delivery</x:v>
      </x:c>
      <x:c r="C86" s="49" t="str">
        <x:v>Retail/grocery card partner</x:v>
      </x:c>
      <x:c r="D86" s="49" t="str">
        <x:v>TD Bank</x:v>
      </x:c>
      <x:c r="E86" s="49" t="str">
        <x:v>Target Circle Card credit card</x:v>
      </x:c>
      <x:c r="F86" s="49" t="str">
        <x:v>https://www.target.com/circlecard</x:v>
      </x:c>
      <x:c r="G86" s="49" t="str">
        <x:v>https://www.target.com/circlecard/credit-card</x:v>
      </x:c>
      <x:c r="H86" s="49" t="str">
        <x:v>Official Target Circle Card pages.</x:v>
      </x:c>
      <x:c r="I86" s="49" t="str">
        <x:v>Current public card page</x:v>
      </x:c>
      <x:c r="J86" s="49" t="str">
        <x:v>High</x:v>
      </x:c>
      <x:c r="K86" s="49" t="str">
        <x:v>2026-05-30</x:v>
      </x:c>
      <x:c r="L86" s="50" t="str">
        <x:v>Target Circle includes debit and reloadable products; isolate credit card offer.</x:v>
      </x:c>
    </x:row>
    <x:row r="87">
      <x:c r="A87" s="48" t="str">
        <x:v>Amazon / Whole Foods Market</x:v>
      </x:c>
      <x:c r="B87" s="49" t="str">
        <x:v>Grocery/Warehouse/Food Delivery</x:v>
      </x:c>
      <x:c r="C87" s="49" t="str">
        <x:v>Retail/grocery co-brand partner</x:v>
      </x:c>
      <x:c r="D87" s="49" t="str">
        <x:v>JPMorgan Chase; Synchrony for store-card products</x:v>
      </x:c>
      <x:c r="E87" s="49" t="str">
        <x:v>Prime Visa, Amazon Visa, Amazon Store Card</x:v>
      </x:c>
      <x:c r="F87" s="49" t="str">
        <x:v>https://www.amazon.com/Prime-Visa/dp/B007URFTYI</x:v>
      </x:c>
      <x:c r="G87" s="49" t="str">
        <x:v>https://creditcards.chase.com/cash-back-credit-cards/amazon</x:v>
      </x:c>
      <x:c r="H87" s="49" t="str">
        <x:v>Official Amazon card page and Chase Amazon card page.</x:v>
      </x:c>
      <x:c r="I87" s="49" t="str">
        <x:v>Current public co-brand page</x:v>
      </x:c>
      <x:c r="J87" s="49" t="str">
        <x:v>High</x:v>
      </x:c>
      <x:c r="K87" s="49" t="str">
        <x:v>2026-05-30</x:v>
      </x:c>
      <x:c r="L87" s="50" t="str">
        <x:v>Whole Foods rewards typically flow through Amazon/Prime Visa.</x:v>
      </x:c>
    </x:row>
    <x:row r="88">
      <x:c r="A88" s="48" t="str">
        <x:v>Instacart</x:v>
      </x:c>
      <x:c r="B88" s="49" t="str">
        <x:v>Grocery/Warehouse/Food Delivery</x:v>
      </x:c>
      <x:c r="C88" s="49" t="str">
        <x:v>Grocery delivery co-brand partner</x:v>
      </x:c>
      <x:c r="D88" s="49" t="str">
        <x:v>JPMorgan Chase</x:v>
      </x:c>
      <x:c r="E88" s="49" t="str">
        <x:v>Instacart Mastercard</x:v>
      </x:c>
      <x:c r="F88" s="49" t="str">
        <x:v>https://www.instacart.com/store/credit-card</x:v>
      </x:c>
      <x:c r="G88" s="49" t="str">
        <x:v>https://creditcards.chase.com/cash-back-credit-cards/instacart</x:v>
      </x:c>
      <x:c r="H88" s="49" t="str">
        <x:v>Official Instacart and Chase co-brand pages.</x:v>
      </x:c>
      <x:c r="I88" s="49" t="str">
        <x:v>Current public co-brand page</x:v>
      </x:c>
      <x:c r="J88" s="49" t="str">
        <x:v>High</x:v>
      </x:c>
      <x:c r="K88" s="49" t="str">
        <x:v>2026-05-30</x:v>
      </x:c>
      <x:c r="L88" s="50" t="str"/>
    </x:row>
    <x:row r="89">
      <x:c r="A89" s="48" t="str">
        <x:v>DoorDash</x:v>
      </x:c>
      <x:c r="B89" s="49" t="str">
        <x:v>Grocery/Warehouse/Food Delivery</x:v>
      </x:c>
      <x:c r="C89" s="49" t="str">
        <x:v>Food delivery co-brand partner</x:v>
      </x:c>
      <x:c r="D89" s="49" t="str">
        <x:v>JPMorgan Chase</x:v>
      </x:c>
      <x:c r="E89" s="49" t="str">
        <x:v>DoorDash Rewards Mastercard</x:v>
      </x:c>
      <x:c r="F89" s="49" t="str">
        <x:v>https://help.doordash.com/en-us/consumers/article/doordash-rewards-mastercard</x:v>
      </x:c>
      <x:c r="G89" s="49" t="str">
        <x:v>https://creditcards.chase.com/cash-back-credit-cards/doordash</x:v>
      </x:c>
      <x:c r="H89" s="49" t="str">
        <x:v>Official DoorDash consumer Mastercard help page and Chase co-brand page.</x:v>
      </x:c>
      <x:c r="I89" s="49" t="str">
        <x:v>Current public co-brand page</x:v>
      </x:c>
      <x:c r="J89" s="49" t="str">
        <x:v>Medium</x:v>
      </x:c>
      <x:c r="K89" s="49" t="str">
        <x:v>2026-05-30</x:v>
      </x:c>
      <x:c r="L89" s="50" t="str">
        <x:v>Verify consumer rewards card versus Dasher/driver financial products if URLs shift.</x:v>
      </x:c>
    </x:row>
    <x:row r="90">
      <x:c r="A90" s="48" t="str">
        <x:v>Best Buy</x:v>
      </x:c>
      <x:c r="B90" s="49" t="str">
        <x:v>Retail/Ecommerce</x:v>
      </x:c>
      <x:c r="C90" s="49" t="str">
        <x:v>Retail co-brand/private-label partner</x:v>
      </x:c>
      <x:c r="D90" s="49" t="str">
        <x:v>Citibank, N.A.</x:v>
      </x:c>
      <x:c r="E90" s="49" t="str">
        <x:v>My Best Buy Credit Card, My Best Buy Visa</x:v>
      </x:c>
      <x:c r="F90" s="49" t="str">
        <x:v>https://www.bestbuy.com/site/financing-rewards/learn-about-best-buy-credit-cards/pcmcat102500050032.c</x:v>
      </x:c>
      <x:c r="G90" s="49" t="str">
        <x:v>https://citiretailservices.citibankonline.com/RSnextgen/svc/launch/index.action?siteId=PLCN_BESTBUY</x:v>
      </x:c>
      <x:c r="H90" s="49" t="str">
        <x:v>Official Best Buy card page and Citi Retail Services path.</x:v>
      </x:c>
      <x:c r="I90" s="49" t="str">
        <x:v>Current public card page</x:v>
      </x:c>
      <x:c r="J90" s="49" t="str">
        <x:v>Medium</x:v>
      </x:c>
      <x:c r="K90" s="49" t="str">
        <x:v>2026-05-30</x:v>
      </x:c>
      <x:c r="L90" s="50" t="str"/>
    </x:row>
    <x:row r="91">
      <x:c r="A91" s="48" t="str">
        <x:v>Macy's</x:v>
      </x:c>
      <x:c r="B91" s="49" t="str">
        <x:v>Retail/Ecommerce</x:v>
      </x:c>
      <x:c r="C91" s="49" t="str">
        <x:v>Retail co-brand/private-label partner</x:v>
      </x:c>
      <x:c r="D91" s="49" t="str">
        <x:v>Citibank, N.A.</x:v>
      </x:c>
      <x:c r="E91" s="49" t="str">
        <x:v>Macy's Credit Card, Macy's American Express Card</x:v>
      </x:c>
      <x:c r="F91" s="49" t="str">
        <x:v>https://www.macys.com/p/credit-service/marketing/main/</x:v>
      </x:c>
      <x:c r="G91" s="49" t="str">
        <x:v>https://www.macys.com/my-credit/gateway/guest</x:v>
      </x:c>
      <x:c r="H91" s="49" t="str">
        <x:v>Official Macy's credit card pages.</x:v>
      </x:c>
      <x:c r="I91" s="49" t="str">
        <x:v>Current public card page</x:v>
      </x:c>
      <x:c r="J91" s="49" t="str">
        <x:v>Medium</x:v>
      </x:c>
      <x:c r="K91" s="49" t="str">
        <x:v>2026-05-30</x:v>
      </x:c>
      <x:c r="L91" s="50" t="str"/>
    </x:row>
    <x:row r="92">
      <x:c r="A92" s="48" t="str">
        <x:v>Bloomingdale's</x:v>
      </x:c>
      <x:c r="B92" s="49" t="str">
        <x:v>Retail/Ecommerce</x:v>
      </x:c>
      <x:c r="C92" s="49" t="str">
        <x:v>Retail co-brand/private-label partner</x:v>
      </x:c>
      <x:c r="D92" s="49" t="str">
        <x:v>Citibank, N.A.</x:v>
      </x:c>
      <x:c r="E92" s="49" t="str">
        <x:v>Bloomingdale's Credit Card, Bloomingdale's American Express Card</x:v>
      </x:c>
      <x:c r="F92" s="49" t="str">
        <x:v>https://www.bloomingdales.com/my-credit/gateway/guest</x:v>
      </x:c>
      <x:c r="G92" s="49" t="str">
        <x:v>https://www.bloomingdales.com/b/credit-card/</x:v>
      </x:c>
      <x:c r="H92" s="49" t="str">
        <x:v>Official Bloomingdale's credit card pages.</x:v>
      </x:c>
      <x:c r="I92" s="49" t="str">
        <x:v>Current public card page</x:v>
      </x:c>
      <x:c r="J92" s="49" t="str">
        <x:v>Low</x:v>
      </x:c>
      <x:c r="K92" s="49" t="str">
        <x:v>2026-05-30</x:v>
      </x:c>
      <x:c r="L92" s="50" t="str"/>
    </x:row>
    <x:row r="93">
      <x:c r="A93" s="48" t="str">
        <x:v>Nordstrom</x:v>
      </x:c>
      <x:c r="B93" s="49" t="str">
        <x:v>Retail/Ecommerce</x:v>
      </x:c>
      <x:c r="C93" s="49" t="str">
        <x:v>Retail co-brand/private-label partner</x:v>
      </x:c>
      <x:c r="D93" s="49" t="str">
        <x:v>TD Bank</x:v>
      </x:c>
      <x:c r="E93" s="49" t="str">
        <x:v>Nordstrom Credit Card, Nordstrom Visa</x:v>
      </x:c>
      <x:c r="F93" s="49" t="str">
        <x:v>https://www.nordstrom.com/browse/customer-service/credit-card</x:v>
      </x:c>
      <x:c r="G93" s="49" t="str">
        <x:v>https://www.nordstromcard.com/</x:v>
      </x:c>
      <x:c r="H93" s="49" t="str">
        <x:v>Official Nordstrom credit card page and card servicing microsite.</x:v>
      </x:c>
      <x:c r="I93" s="49" t="str">
        <x:v>Current public card page</x:v>
      </x:c>
      <x:c r="J93" s="49" t="str">
        <x:v>Medium</x:v>
      </x:c>
      <x:c r="K93" s="49" t="str">
        <x:v>2026-05-30</x:v>
      </x:c>
      <x:c r="L93" s="50" t="str"/>
    </x:row>
    <x:row r="94">
      <x:c r="A94" s="48" t="str">
        <x:v>Kohl's</x:v>
      </x:c>
      <x:c r="B94" s="49" t="str">
        <x:v>Retail/Ecommerce</x:v>
      </x:c>
      <x:c r="C94" s="49" t="str">
        <x:v>Retail card partner</x:v>
      </x:c>
      <x:c r="D94" s="49" t="str">
        <x:v>Capital One</x:v>
      </x:c>
      <x:c r="E94" s="49" t="str">
        <x:v>Kohl's Card</x:v>
      </x:c>
      <x:c r="F94" s="49" t="str">
        <x:v>https://www.kohls.com/feature/kohls-card.jsp</x:v>
      </x:c>
      <x:c r="G94" s="49" t="str">
        <x:v>https://www.kohls.com/feature/kohls-card-rewards.jsp</x:v>
      </x:c>
      <x:c r="H94" s="49" t="str">
        <x:v>Official Kohl's card pages.</x:v>
      </x:c>
      <x:c r="I94" s="49" t="str">
        <x:v>Current public card page</x:v>
      </x:c>
      <x:c r="J94" s="49" t="str">
        <x:v>Medium</x:v>
      </x:c>
      <x:c r="K94" s="49" t="str">
        <x:v>2026-05-30</x:v>
      </x:c>
      <x:c r="L94" s="50" t="str">
        <x:v>Rewards are tied to Kohl's loyalty/discount ecosystem; verify credit-card-specific offer.</x:v>
      </x:c>
    </x:row>
    <x:row r="95">
      <x:c r="A95" s="48" t="str">
        <x:v>Dillard's</x:v>
      </x:c>
      <x:c r="B95" s="49" t="str">
        <x:v>Retail/Ecommerce</x:v>
      </x:c>
      <x:c r="C95" s="49" t="str">
        <x:v>Retail co-brand/private-label partner</x:v>
      </x:c>
      <x:c r="D95" s="49" t="str">
        <x:v>Wells Fargo</x:v>
      </x:c>
      <x:c r="E95" s="49" t="str">
        <x:v>Dillard's Credit Card, Dillard's American Express Card</x:v>
      </x:c>
      <x:c r="F95" s="49" t="str">
        <x:v>https://www.dillards.com/c/card-benefits</x:v>
      </x:c>
      <x:c r="G95" s="49" t="str">
        <x:v>https://dillards.myonlineresourcecenter.com/</x:v>
      </x:c>
      <x:c r="H95" s="49" t="str">
        <x:v>Official Dillard's card benefits and Wells Fargo servicing path.</x:v>
      </x:c>
      <x:c r="I95" s="49" t="str">
        <x:v>Current public card page</x:v>
      </x:c>
      <x:c r="J95" s="49" t="str">
        <x:v>Low</x:v>
      </x:c>
      <x:c r="K95" s="49" t="str">
        <x:v>2026-05-30</x:v>
      </x:c>
      <x:c r="L95" s="50" t="str"/>
    </x:row>
    <x:row r="96">
      <x:c r="A96" s="48" t="str">
        <x:v>Gap Inc.</x:v>
      </x:c>
      <x:c r="B96" s="49" t="str">
        <x:v>Retail/Ecommerce</x:v>
      </x:c>
      <x:c r="C96" s="49" t="str">
        <x:v>Retail co-brand partner</x:v>
      </x:c>
      <x:c r="D96" s="49" t="str">
        <x:v>Barclays Bank Delaware</x:v>
      </x:c>
      <x:c r="E96" s="49" t="str">
        <x:v>Gap Good Rewards Mastercard, Old Navy Navyist Rewards Mastercard, Banana Republic Rewards Mastercard, Athleta Rewards Mastercard</x:v>
      </x:c>
      <x:c r="F96" s="49" t="str">
        <x:v>https://www.gap.com/browse/info.do?cid=1195039</x:v>
      </x:c>
      <x:c r="G96" s="49" t="str">
        <x:v>https://oldnavy.gap.com/browse/info.do?cid=1192659</x:v>
      </x:c>
      <x:c r="H96" s="49" t="str">
        <x:v>Official Gap/Old Navy family card pages.</x:v>
      </x:c>
      <x:c r="I96" s="49" t="str">
        <x:v>Current public co-brand page</x:v>
      </x:c>
      <x:c r="J96" s="49" t="str">
        <x:v>Medium</x:v>
      </x:c>
      <x:c r="K96" s="49" t="str">
        <x:v>2026-05-30</x:v>
      </x:c>
      <x:c r="L96" s="50" t="str">
        <x:v>One portfolio spans multiple Gap Inc. brands; agents may split by banner if needed.</x:v>
      </x:c>
    </x:row>
    <x:row r="97">
      <x:c r="A97" s="48" t="str">
        <x:v>Ulta Beauty</x:v>
      </x:c>
      <x:c r="B97" s="49" t="str">
        <x:v>Retail/Ecommerce</x:v>
      </x:c>
      <x:c r="C97" s="49" t="str">
        <x:v>Retail co-brand/private-label partner</x:v>
      </x:c>
      <x:c r="D97" s="49" t="str">
        <x:v>Comenity Capital Bank</x:v>
      </x:c>
      <x:c r="E97" s="49" t="str">
        <x:v>Ultamate Rewards Credit Card, Ultamate Rewards Mastercard</x:v>
      </x:c>
      <x:c r="F97" s="49" t="str">
        <x:v>https://www.ulta.com/creditcards</x:v>
      </x:c>
      <x:c r="G97" s="49" t="str">
        <x:v>https://d.comenity.net/ultamaterewardsmastercard/</x:v>
      </x:c>
      <x:c r="H97" s="49" t="str">
        <x:v>Official Ulta credit card and Comenity servicing pages.</x:v>
      </x:c>
      <x:c r="I97" s="49" t="str">
        <x:v>Current public card page</x:v>
      </x:c>
      <x:c r="J97" s="49" t="str">
        <x:v>Medium</x:v>
      </x:c>
      <x:c r="K97" s="49" t="str">
        <x:v>2026-05-30</x:v>
      </x:c>
      <x:c r="L97" s="50" t="str"/>
    </x:row>
    <x:row r="98">
      <x:c r="A98" s="48" t="str">
        <x:v>Sephora</x:v>
      </x:c>
      <x:c r="B98" s="49" t="str">
        <x:v>Retail/Ecommerce</x:v>
      </x:c>
      <x:c r="C98" s="49" t="str">
        <x:v>Retail co-brand/private-label partner</x:v>
      </x:c>
      <x:c r="D98" s="49" t="str">
        <x:v>Comenity Capital Bank</x:v>
      </x:c>
      <x:c r="E98" s="49" t="str">
        <x:v>Sephora Credit Card, Sephora Visa Credit Card</x:v>
      </x:c>
      <x:c r="F98" s="49" t="str">
        <x:v>https://www.sephora.com/creditcard</x:v>
      </x:c>
      <x:c r="G98" s="49" t="str">
        <x:v>https://d.comenity.net/sephoracard/</x:v>
      </x:c>
      <x:c r="H98" s="49" t="str">
        <x:v>Official Sephora credit card and Comenity servicing pages.</x:v>
      </x:c>
      <x:c r="I98" s="49" t="str">
        <x:v>Current public card page</x:v>
      </x:c>
      <x:c r="J98" s="49" t="str">
        <x:v>Medium</x:v>
      </x:c>
      <x:c r="K98" s="49" t="str">
        <x:v>2026-05-30</x:v>
      </x:c>
      <x:c r="L98" s="50" t="str"/>
    </x:row>
    <x:row r="99">
      <x:c r="A99" s="48" t="str">
        <x:v>Victoria's Secret</x:v>
      </x:c>
      <x:c r="B99" s="49" t="str">
        <x:v>Retail/Ecommerce</x:v>
      </x:c>
      <x:c r="C99" s="49" t="str">
        <x:v>Retail co-brand/private-label partner</x:v>
      </x:c>
      <x:c r="D99" s="49" t="str">
        <x:v>Comenity Bank</x:v>
      </x:c>
      <x:c r="E99" s="49" t="str">
        <x:v>Victoria's Secret Credit Card, Mastercard</x:v>
      </x:c>
      <x:c r="F99" s="49" t="str">
        <x:v>https://www.victoriassecret.com/us/vs/vs-credit-card</x:v>
      </x:c>
      <x:c r="G99" s="49" t="str">
        <x:v>https://d.comenity.net/victoriassecret/</x:v>
      </x:c>
      <x:c r="H99" s="49" t="str">
        <x:v>Official Victoria's Secret credit card and Comenity servicing pages.</x:v>
      </x:c>
      <x:c r="I99" s="49" t="str">
        <x:v>Current public card page</x:v>
      </x:c>
      <x:c r="J99" s="49" t="str">
        <x:v>Low</x:v>
      </x:c>
      <x:c r="K99" s="49" t="str">
        <x:v>2026-05-30</x:v>
      </x:c>
      <x:c r="L99" s="50" t="str"/>
    </x:row>
    <x:row r="100">
      <x:c r="A100" s="48" t="str">
        <x:v>TJX Rewards</x:v>
      </x:c>
      <x:c r="B100" s="49" t="str">
        <x:v>Retail/Ecommerce</x:v>
      </x:c>
      <x:c r="C100" s="49" t="str">
        <x:v>Retail co-brand/private-label partner</x:v>
      </x:c>
      <x:c r="D100" s="49" t="str">
        <x:v>Synchrony Bank</x:v>
      </x:c>
      <x:c r="E100" s="49" t="str">
        <x:v>TJX Rewards Credit Card, TJX Rewards Platinum Mastercard</x:v>
      </x:c>
      <x:c r="F100" s="49" t="str">
        <x:v>https://www.tjxrewards.com/</x:v>
      </x:c>
      <x:c r="G100" s="49" t="str">
        <x:v>https://www.synchrony.com/financing/tjx-rewards</x:v>
      </x:c>
      <x:c r="H100" s="49" t="str">
        <x:v>Official TJX Rewards and Synchrony card pages.</x:v>
      </x:c>
      <x:c r="I100" s="49" t="str">
        <x:v>Current public card page</x:v>
      </x:c>
      <x:c r="J100" s="49" t="str">
        <x:v>Medium</x:v>
      </x:c>
      <x:c r="K100" s="49" t="str">
        <x:v>2026-05-30</x:v>
      </x:c>
      <x:c r="L100" s="50" t="str">
        <x:v>Covers T.J.Maxx, Marshalls, HomeGoods, Sierra, Homesense.</x:v>
      </x:c>
    </x:row>
    <x:row r="101">
      <x:c r="A101" s="48" t="str">
        <x:v>Lowe's</x:v>
      </x:c>
      <x:c r="B101" s="49" t="str">
        <x:v>Retail/Ecommerce</x:v>
      </x:c>
      <x:c r="C101" s="49" t="str">
        <x:v>Retail private-label/co-brand partner</x:v>
      </x:c>
      <x:c r="D101" s="49" t="str">
        <x:v>Synchrony Bank</x:v>
      </x:c>
      <x:c r="E101" s="49" t="str">
        <x:v>MyLowe's Rewards Credit Card, Lowe's Advantage Card</x:v>
      </x:c>
      <x:c r="F101" s="49" t="str">
        <x:v>https://www.lowes.com/l/Credit.html</x:v>
      </x:c>
      <x:c r="G101" s="49" t="str">
        <x:v>https://www.synchrony.com/financing/lowes</x:v>
      </x:c>
      <x:c r="H101" s="49" t="str">
        <x:v>Official Lowe's credit center and Synchrony card pages.</x:v>
      </x:c>
      <x:c r="I101" s="49" t="str">
        <x:v>Current public card page</x:v>
      </x:c>
      <x:c r="J101" s="49" t="str">
        <x:v>Medium</x:v>
      </x:c>
      <x:c r="K101" s="49" t="str">
        <x:v>2026-05-30</x:v>
      </x:c>
      <x:c r="L101" s="50" t="str">
        <x:v>Some value prop is discount/financing rather than points; verify reward mechanics.</x:v>
      </x:c>
    </x:row>
    <x:row r="102">
      <x:c r="A102" s="48" t="str">
        <x:v>Williams-Sonoma, Inc. / The Key Rewards</x:v>
      </x:c>
      <x:c r="B102" s="49" t="str">
        <x:v>Retail/Ecommerce</x:v>
      </x:c>
      <x:c r="C102" s="49" t="str">
        <x:v>Retail co-brand partner</x:v>
      </x:c>
      <x:c r="D102" s="49" t="str">
        <x:v>Capital One</x:v>
      </x:c>
      <x:c r="E102" s="49" t="str">
        <x:v>Williams Sonoma Key Rewards Visa, Pottery Barn Key Rewards Visa, West Elm Key Rewards Visa</x:v>
      </x:c>
      <x:c r="F102" s="49" t="str">
        <x:v>https://www.capitalone.com/credit-cards/williams-sonoma-key-rewards/</x:v>
      </x:c>
      <x:c r="G102" s="49" t="str">
        <x:v>https://www.williams-sonoma.com/customer-service/credit-card.html</x:v>
      </x:c>
      <x:c r="H102" s="49" t="str">
        <x:v>Official Capital One and Williams-Sonoma family card pages.</x:v>
      </x:c>
      <x:c r="I102" s="49" t="str">
        <x:v>Current public co-brand page</x:v>
      </x:c>
      <x:c r="J102" s="49" t="str">
        <x:v>Medium</x:v>
      </x:c>
      <x:c r="K102" s="49" t="str">
        <x:v>2026-05-30</x:v>
      </x:c>
      <x:c r="L102" s="50" t="str">
        <x:v>Shared rewards program across Williams Sonoma, Pottery Barn, West Elm, Rejuvenation, Mark &amp; Graham.</x:v>
      </x:c>
    </x:row>
    <x:row r="103">
      <x:c r="A103" s="48" t="str">
        <x:v>L.L.Bean</x:v>
      </x:c>
      <x:c r="B103" s="49" t="str">
        <x:v>Retail/Ecommerce</x:v>
      </x:c>
      <x:c r="C103" s="49" t="str">
        <x:v>Retail co-brand partner</x:v>
      </x:c>
      <x:c r="D103" s="49" t="str">
        <x:v>Citibank, N.A.</x:v>
      </x:c>
      <x:c r="E103" s="49" t="str">
        <x:v>L.L.Bean Mastercard</x:v>
      </x:c>
      <x:c r="F103" s="49" t="str">
        <x:v>https://www.llbeanmastercard.com/</x:v>
      </x:c>
      <x:c r="G103" s="49" t="str">
        <x:v>https://www.llbean.com/llb/shop/510624</x:v>
      </x:c>
      <x:c r="H103" s="49" t="str">
        <x:v>Official L.L.Bean Mastercard microsite and L.L.Bean card page.</x:v>
      </x:c>
      <x:c r="I103" s="49" t="str">
        <x:v>Current public co-brand page</x:v>
      </x:c>
      <x:c r="J103" s="49" t="str">
        <x:v>Low</x:v>
      </x:c>
      <x:c r="K103" s="49" t="str">
        <x:v>2026-05-30</x:v>
      </x:c>
      <x:c r="L103" s="50" t="str"/>
    </x:row>
    <x:row r="104">
      <x:c r="A104" s="48" t="str">
        <x:v>REI Co-op</x:v>
      </x:c>
      <x:c r="B104" s="49" t="str">
        <x:v>Retail/Ecommerce</x:v>
      </x:c>
      <x:c r="C104" s="49" t="str">
        <x:v>Retail co-brand partner</x:v>
      </x:c>
      <x:c r="D104" s="49" t="str">
        <x:v>Capital One</x:v>
      </x:c>
      <x:c r="E104" s="49" t="str">
        <x:v>REI Co-op Mastercard</x:v>
      </x:c>
      <x:c r="F104" s="49" t="str">
        <x:v>https://www.rei.com/membership/mastercard</x:v>
      </x:c>
      <x:c r="G104" s="49" t="str">
        <x:v>https://www.capitalone.com/credit-cards/rei-coop-mastercard/</x:v>
      </x:c>
      <x:c r="H104" s="49" t="str">
        <x:v>Official REI and Capital One co-brand pages.</x:v>
      </x:c>
      <x:c r="I104" s="49" t="str">
        <x:v>Current public co-brand page</x:v>
      </x:c>
      <x:c r="J104" s="49" t="str">
        <x:v>Medium</x:v>
      </x:c>
      <x:c r="K104" s="49" t="str">
        <x:v>2026-05-30</x:v>
      </x:c>
      <x:c r="L104" s="50" t="str"/>
    </x:row>
    <x:row r="105">
      <x:c r="A105" s="48" t="str">
        <x:v>Bass Pro Shops</x:v>
      </x:c>
      <x:c r="B105" s="49" t="str">
        <x:v>Retail/Ecommerce</x:v>
      </x:c>
      <x:c r="C105" s="49" t="str">
        <x:v>Retail co-brand partner</x:v>
      </x:c>
      <x:c r="D105" s="49" t="str">
        <x:v>Capital One</x:v>
      </x:c>
      <x:c r="E105" s="49" t="str">
        <x:v>Bass Pro Shops CLUB Mastercard</x:v>
      </x:c>
      <x:c r="F105" s="49" t="str">
        <x:v>https://www.basspro.com/shop/en/club</x:v>
      </x:c>
      <x:c r="G105" s="49" t="str">
        <x:v>https://www.capitalone.com/credit-cards/bass-pro-shops-club/</x:v>
      </x:c>
      <x:c r="H105" s="49" t="str">
        <x:v>Official Bass Pro CLUB and Capital One co-brand pages.</x:v>
      </x:c>
      <x:c r="I105" s="49" t="str">
        <x:v>Current public co-brand page</x:v>
      </x:c>
      <x:c r="J105" s="49" t="str">
        <x:v>Low</x:v>
      </x:c>
      <x:c r="K105" s="49" t="str">
        <x:v>2026-05-30</x:v>
      </x:c>
      <x:c r="L105" s="50" t="str"/>
    </x:row>
    <x:row r="106">
      <x:c r="A106" s="48" t="str">
        <x:v>Cabela's</x:v>
      </x:c>
      <x:c r="B106" s="49" t="str">
        <x:v>Retail/Ecommerce</x:v>
      </x:c>
      <x:c r="C106" s="49" t="str">
        <x:v>Retail co-brand partner</x:v>
      </x:c>
      <x:c r="D106" s="49" t="str">
        <x:v>Capital One</x:v>
      </x:c>
      <x:c r="E106" s="49" t="str">
        <x:v>Cabela's CLUB Mastercard</x:v>
      </x:c>
      <x:c r="F106" s="49" t="str">
        <x:v>https://www.cabelas.com/shop/en/club</x:v>
      </x:c>
      <x:c r="G106" s="49" t="str">
        <x:v>https://www.capitalone.com/credit-cards/cabelas-club/</x:v>
      </x:c>
      <x:c r="H106" s="49" t="str">
        <x:v>Official Cabela's CLUB and Capital One co-brand pages.</x:v>
      </x:c>
      <x:c r="I106" s="49" t="str">
        <x:v>Current public co-brand page</x:v>
      </x:c>
      <x:c r="J106" s="49" t="str">
        <x:v>Low</x:v>
      </x:c>
      <x:c r="K106" s="49" t="str">
        <x:v>2026-05-30</x:v>
      </x:c>
      <x:c r="L106" s="50" t="str"/>
    </x:row>
    <x:row r="107">
      <x:c r="A107" s="48" t="str">
        <x:v>DICK'S Sporting Goods</x:v>
      </x:c>
      <x:c r="B107" s="49" t="str">
        <x:v>Retail/Ecommerce</x:v>
      </x:c>
      <x:c r="C107" s="49" t="str">
        <x:v>Retail co-brand/private-label partner</x:v>
      </x:c>
      <x:c r="D107" s="49" t="str">
        <x:v>Synchrony Bank</x:v>
      </x:c>
      <x:c r="E107" s="49" t="str">
        <x:v>ScoreRewards Credit Card, ScoreRewards Mastercard</x:v>
      </x:c>
      <x:c r="F107" s="49" t="str">
        <x:v>https://www.dickssportinggoods.com/s/creditcard</x:v>
      </x:c>
      <x:c r="G107" s="49" t="str">
        <x:v>https://www.synchrony.com/financing/dicks-sporting-goods</x:v>
      </x:c>
      <x:c r="H107" s="49" t="str">
        <x:v>Official DICK'S credit card and Synchrony card pages.</x:v>
      </x:c>
      <x:c r="I107" s="49" t="str">
        <x:v>Current public card page</x:v>
      </x:c>
      <x:c r="J107" s="49" t="str">
        <x:v>Low</x:v>
      </x:c>
      <x:c r="K107" s="49" t="str">
        <x:v>2026-05-30</x:v>
      </x:c>
      <x:c r="L107" s="50" t="str"/>
    </x:row>
    <x:row r="108">
      <x:c r="A108" s="48" t="str">
        <x:v>Academy Sports + Outdoors</x:v>
      </x:c>
      <x:c r="B108" s="49" t="str">
        <x:v>Retail/Ecommerce</x:v>
      </x:c>
      <x:c r="C108" s="49" t="str">
        <x:v>Retail co-brand/private-label partner</x:v>
      </x:c>
      <x:c r="D108" s="49" t="str">
        <x:v>Comenity Capital Bank</x:v>
      </x:c>
      <x:c r="E108" s="49" t="str">
        <x:v>Academy Sports + Outdoors Credit Card, Visa</x:v>
      </x:c>
      <x:c r="F108" s="49" t="str">
        <x:v>https://www.academy.com/academy-credit-card</x:v>
      </x:c>
      <x:c r="G108" s="49" t="str">
        <x:v>https://d.comenity.net/academy/</x:v>
      </x:c>
      <x:c r="H108" s="49" t="str">
        <x:v>Official Academy and Comenity card pages.</x:v>
      </x:c>
      <x:c r="I108" s="49" t="str">
        <x:v>Current public card page</x:v>
      </x:c>
      <x:c r="J108" s="49" t="str">
        <x:v>Low</x:v>
      </x:c>
      <x:c r="K108" s="49" t="str">
        <x:v>2026-05-30</x:v>
      </x:c>
      <x:c r="L108" s="50" t="str"/>
    </x:row>
    <x:row r="109">
      <x:c r="A109" s="48" t="str">
        <x:v>Wayfair</x:v>
      </x:c>
      <x:c r="B109" s="49" t="str">
        <x:v>Retail/Ecommerce</x:v>
      </x:c>
      <x:c r="C109" s="49" t="str">
        <x:v>Retail co-brand/private-label partner</x:v>
      </x:c>
      <x:c r="D109" s="49" t="str">
        <x:v>Citibank, N.A.</x:v>
      </x:c>
      <x:c r="E109" s="49" t="str">
        <x:v>Wayfair Credit Card, Wayfair Mastercard</x:v>
      </x:c>
      <x:c r="F109" s="49" t="str">
        <x:v>https://www.wayfair.com/creditcard</x:v>
      </x:c>
      <x:c r="G109" s="49" t="str">
        <x:v>https://citiretailservices.citibankonline.com/RSnextgen/svc/launch/index.action?siteId=PLCN_WAYFAIR</x:v>
      </x:c>
      <x:c r="H109" s="49" t="str">
        <x:v>Official Wayfair card page and Citi Retail Services path.</x:v>
      </x:c>
      <x:c r="I109" s="49" t="str">
        <x:v>Current public card page</x:v>
      </x:c>
      <x:c r="J109" s="49" t="str">
        <x:v>Low</x:v>
      </x:c>
      <x:c r="K109" s="49" t="str">
        <x:v>2026-05-30</x:v>
      </x:c>
      <x:c r="L109" s="50" t="str"/>
    </x:row>
    <x:row r="110">
      <x:c r="A110" s="48" t="str">
        <x:v>PayPal</x:v>
      </x:c>
      <x:c r="B110" s="49" t="str">
        <x:v>Financial/Technology/Other</x:v>
      </x:c>
      <x:c r="C110" s="49" t="str">
        <x:v>Payments co-brand partner</x:v>
      </x:c>
      <x:c r="D110" s="49" t="str">
        <x:v>Synchrony Bank</x:v>
      </x:c>
      <x:c r="E110" s="49" t="str">
        <x:v>PayPal Cashback Mastercard, PayPal Credit</x:v>
      </x:c>
      <x:c r="F110" s="49" t="str">
        <x:v>https://www.paypal.com/us/digital-wallet/manage-money/paypal-cashback-mastercard</x:v>
      </x:c>
      <x:c r="G110" s="49" t="str">
        <x:v>https://www.synchrony.com/financing/paypal</x:v>
      </x:c>
      <x:c r="H110" s="49" t="str">
        <x:v>Official PayPal and Synchrony card pages.</x:v>
      </x:c>
      <x:c r="I110" s="49" t="str">
        <x:v>Current public card page</x:v>
      </x:c>
      <x:c r="J110" s="49" t="str">
        <x:v>High</x:v>
      </x:c>
      <x:c r="K110" s="49" t="str">
        <x:v>2026-05-30</x:v>
      </x:c>
      <x:c r="L110" s="50" t="str"/>
    </x:row>
    <x:row r="111">
      <x:c r="A111" s="48" t="str">
        <x:v>Venmo</x:v>
      </x:c>
      <x:c r="B111" s="49" t="str">
        <x:v>Financial/Technology/Other</x:v>
      </x:c>
      <x:c r="C111" s="49" t="str">
        <x:v>Payments co-brand partner</x:v>
      </x:c>
      <x:c r="D111" s="49" t="str">
        <x:v>Synchrony Bank</x:v>
      </x:c>
      <x:c r="E111" s="49" t="str">
        <x:v>Venmo Credit Card</x:v>
      </x:c>
      <x:c r="F111" s="49" t="str">
        <x:v>https://venmo.com/about/creditcard/</x:v>
      </x:c>
      <x:c r="G111" s="49" t="str">
        <x:v>https://www.synchrony.com/financing/venmo</x:v>
      </x:c>
      <x:c r="H111" s="49" t="str">
        <x:v>Official Venmo and Synchrony card pages.</x:v>
      </x:c>
      <x:c r="I111" s="49" t="str">
        <x:v>Current public card page</x:v>
      </x:c>
      <x:c r="J111" s="49" t="str">
        <x:v>High</x:v>
      </x:c>
      <x:c r="K111" s="49" t="str">
        <x:v>2026-05-30</x:v>
      </x:c>
      <x:c r="L111" s="50" t="str"/>
    </x:row>
    <x:row r="112">
      <x:c r="A112" s="48" t="str">
        <x:v>Apple</x:v>
      </x:c>
      <x:c r="B112" s="49" t="str">
        <x:v>Financial/Technology/Other</x:v>
      </x:c>
      <x:c r="C112" s="49" t="str">
        <x:v>Technology co-brand card partner</x:v>
      </x:c>
      <x:c r="D112" s="49" t="str">
        <x:v>Goldman Sachs Bank USA; transition monitoring may be needed</x:v>
      </x:c>
      <x:c r="E112" s="49" t="str">
        <x:v>Apple Card</x:v>
      </x:c>
      <x:c r="F112" s="49" t="str">
        <x:v>https://www.apple.com/apple-card/</x:v>
      </x:c>
      <x:c r="G112" s="49" t="str">
        <x:v>https://support.apple.com/apple-card</x:v>
      </x:c>
      <x:c r="H112" s="49" t="str">
        <x:v>Official Apple Card page and Apple support.</x:v>
      </x:c>
      <x:c r="I112" s="49" t="str">
        <x:v>Current public card page</x:v>
      </x:c>
      <x:c r="J112" s="49" t="str">
        <x:v>High</x:v>
      </x:c>
      <x:c r="K112" s="49" t="str">
        <x:v>2026-05-30</x:v>
      </x:c>
      <x:c r="L112" s="50" t="str">
        <x:v>Issuer relationship has been newsworthy; agents should verify current issuer at scrape time.</x:v>
      </x:c>
    </x:row>
    <x:row r="113">
      <x:c r="A113" s="48" t="str">
        <x:v>Verizon</x:v>
      </x:c>
      <x:c r="B113" s="49" t="str">
        <x:v>Financial/Technology/Other</x:v>
      </x:c>
      <x:c r="C113" s="49" t="str">
        <x:v>Telecom co-brand partner</x:v>
      </x:c>
      <x:c r="D113" s="49" t="str">
        <x:v>Synchrony Bank</x:v>
      </x:c>
      <x:c r="E113" s="49" t="str">
        <x:v>Verizon Visa Card</x:v>
      </x:c>
      <x:c r="F113" s="49" t="str">
        <x:v>https://www.verizon.com/solutions-and-services/verizon-visa-card/</x:v>
      </x:c>
      <x:c r="G113" s="49" t="str">
        <x:v>https://www.synchrony.com/financing/verizon-visa-card</x:v>
      </x:c>
      <x:c r="H113" s="49" t="str">
        <x:v>Official Verizon and Synchrony card pages.</x:v>
      </x:c>
      <x:c r="I113" s="49" t="str">
        <x:v>Current public card page</x:v>
      </x:c>
      <x:c r="J113" s="49" t="str">
        <x:v>Medium</x:v>
      </x:c>
      <x:c r="K113" s="49" t="str">
        <x:v>2026-05-30</x:v>
      </x:c>
      <x:c r="L113" s="50" t="str"/>
    </x:row>
    <x:row r="114">
      <x:c r="A114" s="48" t="str">
        <x:v>General Motors</x:v>
      </x:c>
      <x:c r="B114" s="49" t="str">
        <x:v>Auto/Mobility/Entertainment</x:v>
      </x:c>
      <x:c r="C114" s="49" t="str">
        <x:v>Auto rewards co-brand partner</x:v>
      </x:c>
      <x:c r="D114" s="49" t="str">
        <x:v>Goldman Sachs Bank USA / Marcus</x:v>
      </x:c>
      <x:c r="E114" s="49" t="str">
        <x:v>My GM Rewards Mastercard, GM Business Mastercard</x:v>
      </x:c>
      <x:c r="F114" s="49" t="str">
        <x:v>https://www.gmfinancial.com/en-us/myaccount/credit-card.html</x:v>
      </x:c>
      <x:c r="G114" s="49" t="str">
        <x:v>https://www.marcus.com/us/en/credit-cards/gm-cards</x:v>
      </x:c>
      <x:c r="H114" s="49" t="str">
        <x:v>Official GM Financial and Marcus GM card pages.</x:v>
      </x:c>
      <x:c r="I114" s="49" t="str">
        <x:v>Current public co-brand page</x:v>
      </x:c>
      <x:c r="J114" s="49" t="str">
        <x:v>Medium</x:v>
      </x:c>
      <x:c r="K114" s="49" t="str">
        <x:v>2026-05-30</x:v>
      </x:c>
      <x:c r="L114" s="50" t="str"/>
    </x:row>
    <x:row r="115">
      <x:c r="A115" s="48" t="str">
        <x:v>FordPass Rewards</x:v>
      </x:c>
      <x:c r="B115" s="49" t="str">
        <x:v>Auto/Mobility/Entertainment</x:v>
      </x:c>
      <x:c r="C115" s="49" t="str">
        <x:v>Auto rewards co-brand partner</x:v>
      </x:c>
      <x:c r="D115" s="49" t="str">
        <x:v>FNBO</x:v>
      </x:c>
      <x:c r="E115" s="49" t="str">
        <x:v>FordPass Rewards Visa Card</x:v>
      </x:c>
      <x:c r="F115" s="49" t="str">
        <x:v>https://www.ford.com/finance/credit-card/</x:v>
      </x:c>
      <x:c r="G115" s="49" t="str">
        <x:v>https://www.fnbo.com/personal-banking/credit-cards/fordpass-rewards-visa-card</x:v>
      </x:c>
      <x:c r="H115" s="49" t="str">
        <x:v>Official Ford and FNBO co-brand pages.</x:v>
      </x:c>
      <x:c r="I115" s="49" t="str">
        <x:v>Current public co-brand page</x:v>
      </x:c>
      <x:c r="J115" s="49" t="str">
        <x:v>Medium</x:v>
      </x:c>
      <x:c r="K115" s="49" t="str">
        <x:v>2026-05-30</x:v>
      </x:c>
      <x:c r="L115" s="50" t="str"/>
    </x:row>
    <x:row r="116">
      <x:c r="A116" s="48" t="str">
        <x:v>Toyota Rewards</x:v>
      </x:c>
      <x:c r="B116" s="49" t="str">
        <x:v>Auto/Mobility/Entertainment</x:v>
      </x:c>
      <x:c r="C116" s="49" t="str">
        <x:v>Auto rewards co-brand partner</x:v>
      </x:c>
      <x:c r="D116" s="49" t="str">
        <x:v>Comenity Capital Bank</x:v>
      </x:c>
      <x:c r="E116" s="49" t="str">
        <x:v>Toyota Rewards Visa</x:v>
      </x:c>
      <x:c r="F116" s="49" t="str">
        <x:v>https://www.toyotarewardsvisa.com/</x:v>
      </x:c>
      <x:c r="G116" s="49" t="str">
        <x:v>https://d.comenity.net/toyotarewardsvisa/</x:v>
      </x:c>
      <x:c r="H116" s="49" t="str">
        <x:v>Official Toyota Rewards Visa and Comenity pages.</x:v>
      </x:c>
      <x:c r="I116" s="49" t="str">
        <x:v>Current or recent public co-brand page</x:v>
      </x:c>
      <x:c r="J116" s="49" t="str">
        <x:v>Low</x:v>
      </x:c>
      <x:c r="K116" s="49" t="str">
        <x:v>2026-05-30</x:v>
      </x:c>
      <x:c r="L116" s="50" t="str">
        <x:v>Verify application availability and issuer terms.</x:v>
      </x:c>
    </x:row>
    <x:row r="117">
      <x:c r="A117" s="48" t="str">
        <x:v>Harley-Davidson</x:v>
      </x:c>
      <x:c r="B117" s="49" t="str">
        <x:v>Auto/Mobility/Entertainment</x:v>
      </x:c>
      <x:c r="C117" s="49" t="str">
        <x:v>Motorcycle/brand rewards co-brand partner</x:v>
      </x:c>
      <x:c r="D117" s="49" t="str">
        <x:v>U.S. Bank</x:v>
      </x:c>
      <x:c r="E117" s="49" t="str">
        <x:v>Harley-Davidson Visa</x:v>
      </x:c>
      <x:c r="F117" s="49" t="str">
        <x:v>https://www.harley-davidson.com/us/en/tools/credit-card.html</x:v>
      </x:c>
      <x:c r="G117" s="49" t="str">
        <x:v>https://www.usbank.com/credit-cards/harley-davidson-visa-credit-card.html</x:v>
      </x:c>
      <x:c r="H117" s="49" t="str">
        <x:v>Official Harley-Davidson and U.S. Bank co-brand pages.</x:v>
      </x:c>
      <x:c r="I117" s="49" t="str">
        <x:v>Current public co-brand page</x:v>
      </x:c>
      <x:c r="J117" s="49" t="str">
        <x:v>Low</x:v>
      </x:c>
      <x:c r="K117" s="49" t="str">
        <x:v>2026-05-30</x:v>
      </x:c>
      <x:c r="L117" s="50" t="str"/>
    </x:row>
    <x:row r="118">
      <x:c r="A118" s="48" t="str">
        <x:v>AARP</x:v>
      </x:c>
      <x:c r="B118" s="49" t="str">
        <x:v>Financial/Technology/Other</x:v>
      </x:c>
      <x:c r="C118" s="49" t="str">
        <x:v>Membership organization co-brand partner</x:v>
      </x:c>
      <x:c r="D118" s="49" t="str">
        <x:v>Barclays Bank Delaware</x:v>
      </x:c>
      <x:c r="E118" s="49" t="str">
        <x:v>AARP Essential Rewards Mastercard, AARP Travel Rewards Mastercard</x:v>
      </x:c>
      <x:c r="F118" s="49" t="str">
        <x:v>https://www.aarpcreditcard.com/</x:v>
      </x:c>
      <x:c r="G118" s="49" t="str">
        <x:v>https://cards.barclaycardus.com/banking/cards/aarp-essential-rewards-mastercard/</x:v>
      </x:c>
      <x:c r="H118" s="49" t="str">
        <x:v>Official AARP credit card microsite and Barclays product path.</x:v>
      </x:c>
      <x:c r="I118" s="49" t="str">
        <x:v>Current public co-brand page</x:v>
      </x:c>
      <x:c r="J118" s="49" t="str">
        <x:v>Medium</x:v>
      </x:c>
      <x:c r="K118" s="49" t="str">
        <x:v>2026-05-30</x:v>
      </x:c>
      <x:c r="L118" s="50" t="str"/>
    </x:row>
    <x:row r="119">
      <x:c r="A119" s="48" t="str">
        <x:v>AAA</x:v>
      </x:c>
      <x:c r="B119" s="49" t="str">
        <x:v>Financial/Technology/Other</x:v>
      </x:c>
      <x:c r="C119" s="49" t="str">
        <x:v>Membership/travel co-brand partner</x:v>
      </x:c>
      <x:c r="D119" s="49" t="str">
        <x:v>Comenity Capital Bank</x:v>
      </x:c>
      <x:c r="E119" s="49" t="str">
        <x:v>AAA Travel Advantage Visa Signature, AAA Daily Advantage Visa Signature</x:v>
      </x:c>
      <x:c r="F119" s="49" t="str">
        <x:v>https://www.ace.aaa.com/financial/aaa-credit-card.html</x:v>
      </x:c>
      <x:c r="G119" s="49" t="str">
        <x:v>https://www.aaa.com/AAA/common/financial/AAA_Credit_Card.html</x:v>
      </x:c>
      <x:c r="H119" s="49" t="str">
        <x:v>Official AAA club credit card pages and Comenity application paths.</x:v>
      </x:c>
      <x:c r="I119" s="49" t="str">
        <x:v>Current public co-brand page</x:v>
      </x:c>
      <x:c r="J119" s="49" t="str">
        <x:v>Medium</x:v>
      </x:c>
      <x:c r="K119" s="49" t="str">
        <x:v>2026-05-30</x:v>
      </x:c>
      <x:c r="L119" s="50" t="str">
        <x:v>AAA card URLs vary by club region; record club used.</x:v>
      </x:c>
    </x:row>
    <x:row r="120">
      <x:c r="A120" s="48" t="str">
        <x:v>Fidelity Investments</x:v>
      </x:c>
      <x:c r="B120" s="49" t="str">
        <x:v>Financial/Technology/Other</x:v>
      </x:c>
      <x:c r="C120" s="49" t="str">
        <x:v>Brokerage/financial-services co-brand partner</x:v>
      </x:c>
      <x:c r="D120" s="49" t="str">
        <x:v>Elan Financial Services</x:v>
      </x:c>
      <x:c r="E120" s="49" t="str">
        <x:v>Fidelity Rewards Visa Signature Card</x:v>
      </x:c>
      <x:c r="F120" s="49" t="str">
        <x:v>https://www.fidelity.com/spend-save/visa-signature-card</x:v>
      </x:c>
      <x:c r="G120" s="49" t="str">
        <x:v>https://www.fidelityrewards.com/</x:v>
      </x:c>
      <x:c r="H120" s="49" t="str">
        <x:v>Official Fidelity and Fidelity Rewards card pages.</x:v>
      </x:c>
      <x:c r="I120" s="49" t="str">
        <x:v>Current public co-brand page</x:v>
      </x:c>
      <x:c r="J120" s="49" t="str">
        <x:v>Medium</x:v>
      </x:c>
      <x:c r="K120" s="49" t="str">
        <x:v>2026-05-30</x:v>
      </x:c>
      <x:c r="L120" s="50" t="str"/>
    </x:row>
    <x:row r="121">
      <x:c r="A121" s="48" t="str">
        <x:v>Bilt Rewards</x:v>
      </x:c>
      <x:c r="B121" s="49" t="str">
        <x:v>Financial/Technology/Other</x:v>
      </x:c>
      <x:c r="C121" s="49" t="str">
        <x:v>Rent/payment rewards co-brand partner</x:v>
      </x:c>
      <x:c r="D121" s="49" t="str">
        <x:v>Wells Fargo</x:v>
      </x:c>
      <x:c r="E121" s="49" t="str">
        <x:v>Bilt Mastercard</x:v>
      </x:c>
      <x:c r="F121" s="49" t="str">
        <x:v>https://www.biltrewards.com/card</x:v>
      </x:c>
      <x:c r="G121" s="49" t="str">
        <x:v>https://creditcards.wellsfargo.com/bilt-rewards-credit-card/</x:v>
      </x:c>
      <x:c r="H121" s="49" t="str">
        <x:v>Official Bilt and Wells Fargo card pages.</x:v>
      </x:c>
      <x:c r="I121" s="49" t="str">
        <x:v>Current public co-brand page</x:v>
      </x:c>
      <x:c r="J121" s="49" t="str">
        <x:v>High</x:v>
      </x:c>
      <x:c r="K121" s="49" t="str">
        <x:v>2026-05-30</x:v>
      </x:c>
      <x:c r="L121" s="50" t="str">
        <x:v>Program has unique rent-payment rewards; capture terms carefully.</x:v>
      </x:c>
    </x:row>
    <x:row r="122">
      <x:c r="A122" s="48" t="str">
        <x:v>Gemini</x:v>
      </x:c>
      <x:c r="B122" s="49" t="str">
        <x:v>Financial/Technology/Other</x:v>
      </x:c>
      <x:c r="C122" s="49" t="str">
        <x:v>Crypto exchange co-brand partner</x:v>
      </x:c>
      <x:c r="D122" s="49" t="str">
        <x:v>WebBank</x:v>
      </x:c>
      <x:c r="E122" s="49" t="str">
        <x:v>Gemini Credit Card</x:v>
      </x:c>
      <x:c r="F122" s="49" t="str">
        <x:v>https://www.gemini.com/credit-card</x:v>
      </x:c>
      <x:c r="G122" s="49" t="str">
        <x:v>https://www.gemini.com/legal/credit-card-agreement</x:v>
      </x:c>
      <x:c r="H122" s="49" t="str">
        <x:v>Official Gemini credit card and legal pages.</x:v>
      </x:c>
      <x:c r="I122" s="49" t="str">
        <x:v>Current public card page</x:v>
      </x:c>
      <x:c r="J122" s="49" t="str">
        <x:v>Low</x:v>
      </x:c>
      <x:c r="K122" s="49" t="str">
        <x:v>2026-05-30</x:v>
      </x:c>
      <x:c r="L122" s="50" t="str">
        <x:v>Rewards are crypto-denominated; verify availability and issuer disclosures.</x:v>
      </x:c>
    </x:row>
    <x:row r="123">
      <x:c r="A123" s="48" t="str">
        <x:v>Robinhood</x:v>
      </x:c>
      <x:c r="B123" s="49" t="str">
        <x:v>Financial/Technology/Other</x:v>
      </x:c>
      <x:c r="C123" s="49" t="str">
        <x:v>Brokerage/fintech card partner</x:v>
      </x:c>
      <x:c r="D123" s="49" t="str">
        <x:v>Coastal Community Bank / Robinhood Credit, Inc. program disclosures</x:v>
      </x:c>
      <x:c r="E123" s="49" t="str">
        <x:v>Robinhood Gold Card</x:v>
      </x:c>
      <x:c r="F123" s="49" t="str">
        <x:v>https://robinhood.com/creditcard/</x:v>
      </x:c>
      <x:c r="G123" s="49" t="str">
        <x:v>https://robinhood.com/us/en/support/articles/robinhood-gold-card/</x:v>
      </x:c>
      <x:c r="H123" s="49" t="str">
        <x:v>Official Robinhood Gold Card and support pages.</x:v>
      </x:c>
      <x:c r="I123" s="49" t="str">
        <x:v>Current public card page</x:v>
      </x:c>
      <x:c r="J123" s="49" t="str">
        <x:v>Medium</x:v>
      </x:c>
      <x:c r="K123" s="49" t="str">
        <x:v>2026-05-30</x:v>
      </x:c>
      <x:c r="L123" s="50" t="str">
        <x:v>Gold membership may be required; verify public waitlist/offer status.</x:v>
      </x:c>
    </x:row>
    <x:row r="124">
      <x:c r="A124" s="48" t="str">
        <x:v>eBay</x:v>
      </x:c>
      <x:c r="B124" s="49" t="str">
        <x:v>Retail/Ecommerce</x:v>
      </x:c>
      <x:c r="C124" s="49" t="str">
        <x:v>Marketplace co-brand partner</x:v>
      </x:c>
      <x:c r="D124" s="49" t="str">
        <x:v>Synchrony Bank</x:v>
      </x:c>
      <x:c r="E124" s="49" t="str">
        <x:v>eBay Mastercard</x:v>
      </x:c>
      <x:c r="F124" s="49" t="str">
        <x:v>https://www.ebaymastercard.syf.com/</x:v>
      </x:c>
      <x:c r="G124" s="49" t="str">
        <x:v>https://pages.ebay.com/creditcard/</x:v>
      </x:c>
      <x:c r="H124" s="49" t="str">
        <x:v>Official eBay Mastercard Synchrony microsite and eBay card page.</x:v>
      </x:c>
      <x:c r="I124" s="49" t="str">
        <x:v>Past-year/transition target; verify current application availability</x:v>
      </x:c>
      <x:c r="J124" s="49" t="str">
        <x:v>Low</x:v>
      </x:c>
      <x:c r="K124" s="49" t="str">
        <x:v>2026-05-30</x:v>
      </x:c>
      <x:c r="L124" s="50" t="str">
        <x:v>Include because downstream agents may need to identify whether offers remain active or were recently discontinued.</x:v>
      </x:c>
    </x:row>
    <x:row r="125">
      <x:c r="A125" s="48" t="str">
        <x:v>Walgreens</x:v>
      </x:c>
      <x:c r="B125" s="49" t="str">
        <x:v>Retail/Ecommerce</x:v>
      </x:c>
      <x:c r="C125" s="49" t="str">
        <x:v>Pharmacy retail co-brand partner</x:v>
      </x:c>
      <x:c r="D125" s="49" t="str">
        <x:v>Synchrony Bank</x:v>
      </x:c>
      <x:c r="E125" s="49" t="str">
        <x:v>myWalgreens Mastercard</x:v>
      </x:c>
      <x:c r="F125" s="49" t="str">
        <x:v>https://www.walgreens.com/topic/promotion/mywalgreens-credit-card.jsp</x:v>
      </x:c>
      <x:c r="G125" s="49" t="str">
        <x:v>https://www.synchrony.com/financing/walgreens</x:v>
      </x:c>
      <x:c r="H125" s="49" t="str">
        <x:v>Official Walgreens and Synchrony card pages.</x:v>
      </x:c>
      <x:c r="I125" s="49" t="str">
        <x:v>Current or recent public card page</x:v>
      </x:c>
      <x:c r="J125" s="49" t="str">
        <x:v>Low</x:v>
      </x:c>
      <x:c r="K125" s="49" t="str">
        <x:v>2026-05-30</x:v>
      </x:c>
      <x:c r="L125" s="50" t="str">
        <x:v>Verify whether new applications are open.</x:v>
      </x:c>
    </x:row>
    <x:row r="126">
      <x:c r="A126" s="48" t="str">
        <x:v>PlayStation</x:v>
      </x:c>
      <x:c r="B126" s="49" t="str">
        <x:v>Auto/Mobility/Entertainment</x:v>
      </x:c>
      <x:c r="C126" s="49" t="str">
        <x:v>Entertainment co-brand partner</x:v>
      </x:c>
      <x:c r="D126" s="49" t="str">
        <x:v>Comenity Bank</x:v>
      </x:c>
      <x:c r="E126" s="49" t="str">
        <x:v>PlayStation Visa Credit Card</x:v>
      </x:c>
      <x:c r="F126" s="49" t="str">
        <x:v>https://www.playstation.com/en-us/playstation-visa-credit-card/</x:v>
      </x:c>
      <x:c r="G126" s="49" t="str">
        <x:v>https://d.comenity.net/ac/playstationvisa/public/home</x:v>
      </x:c>
      <x:c r="H126" s="49" t="str">
        <x:v>Official PlayStation and Comenity card pages.</x:v>
      </x:c>
      <x:c r="I126" s="49" t="str">
        <x:v>Current public co-brand page</x:v>
      </x:c>
      <x:c r="J126" s="49" t="str">
        <x:v>Low</x:v>
      </x:c>
      <x:c r="K126" s="49" t="str">
        <x:v>2026-05-30</x:v>
      </x:c>
      <x:c r="L126" s="50" t="str"/>
    </x:row>
    <x:row r="127">
      <x:c r="A127" s="51" t="str">
        <x:v>NFL Extra Points</x:v>
      </x:c>
      <x:c r="B127" s="52" t="str">
        <x:v>Auto/Mobility/Entertainment</x:v>
      </x:c>
      <x:c r="C127" s="52" t="str">
        <x:v>Sports league co-brand partner</x:v>
      </x:c>
      <x:c r="D127" s="52" t="str">
        <x:v>Comenity Capital Bank</x:v>
      </x:c>
      <x:c r="E127" s="52" t="str">
        <x:v>NFL Extra Points Visa Credit Card</x:v>
      </x:c>
      <x:c r="F127" s="52" t="str">
        <x:v>https://www.nflextrapoints.com/</x:v>
      </x:c>
      <x:c r="G127" s="52" t="str">
        <x:v>https://d.comenity.net/nflextrapointsvisa/</x:v>
      </x:c>
      <x:c r="H127" s="52" t="str">
        <x:v>Official NFL Extra Points and Comenity card pages.</x:v>
      </x:c>
      <x:c r="I127" s="52" t="str">
        <x:v>Current or recent public co-brand page</x:v>
      </x:c>
      <x:c r="J127" s="52" t="str">
        <x:v>Low</x:v>
      </x:c>
      <x:c r="K127" s="52" t="str">
        <x:v>2026-05-30</x:v>
      </x:c>
      <x:c r="L127" s="53" t="str"/>
    </x:row>
  </x:sheetData>
  <x:conditionalFormatting sqref="J2:J127">
    <x:cfRule type="containsText" dxfId="0" priority="1" operator="containsText" text="High"/>
    <x:cfRule type="containsText" dxfId="1" priority="2" operator="containsText" text="Low"/>
  </x:conditionalFormatting>
  <x:conditionalFormatting sqref="I2:I127">
    <x:cfRule type="containsText" dxfId="2" priority="3" operator="containsText" text="transition"/>
    <x:cfRule type="containsText" dxfId="3" priority="4" operator="containsText" text="recent"/>
  </x:conditionalFormatting>
  <x:pageMargins left="0.7" right="0.7" top="0.75" bottom="0.75" header="0.3" footer="0.3"/>
  <x:tableParts count="1">
    <x:tablePart xmlns:r="http://schemas.openxmlformats.org/officeDocument/2006/relationships" r:id="R2700bcb517de41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2.5" hidden="0" customWidth="1"/>
    <x:col min="3" max="3" width="52.5" hidden="0" customWidth="1"/>
    <x:col min="4" max="4" width="42.5" hidden="0" customWidth="1"/>
    <x:col min="5" max="5" width="45" hidden="0" customWidth="1"/>
  </x:cols>
  <x:sheetData>
    <x:row r="1">
      <x:c r="A1" s="24" t="str">
        <x:v>Institution</x:v>
      </x:c>
      <x:c r="B1" s="24" t="str">
        <x:v>Primary Source URL</x:v>
      </x:c>
      <x:c r="C1" s="24" t="str">
        <x:v>Alternate URL</x:v>
      </x:c>
      <x:c r="D1" s="24" t="str">
        <x:v>Source Basis</x:v>
      </x:c>
      <x:c r="E1" s="24" t="str">
        <x:v>Use Notes</x:v>
      </x:c>
    </x:row>
    <x:row r="2">
      <x:c r="A2" s="43" t="str">
        <x:v>JPMorgan Chase</x:v>
      </x:c>
      <x:c r="B2" s="43" t="str">
        <x:v>https://creditcards.chase.com/all-credit-cards</x:v>
      </x:c>
      <x:c r="C2" s="43" t="str">
        <x:v>https://creditcards.chase.com/newest-offers-credit-cards</x:v>
      </x:c>
      <x:c r="D2" s="43" t="str">
        <x:v>Official Chase all-cards and newest-offers pages; browser title confirmed.</x:v>
      </x:c>
      <x:c r="E2" s="43" t="str">
        <x:v>Core issuer hub; downstream agents should use category and brand pages for co-brand filters.</x:v>
      </x:c>
    </x:row>
    <x:row r="3">
      <x:c r="A3" s="43" t="str">
        <x:v>American Express</x:v>
      </x:c>
      <x:c r="B3" s="43" t="str">
        <x:v>https://www.americanexpress.com/us/credit-cards/</x:v>
      </x:c>
      <x:c r="C3" s="43" t="str">
        <x:v>https://www.americanexpress.com/us/credit-cards/category/travel-rewards/</x:v>
      </x:c>
      <x:c r="D3" s="43" t="str">
        <x:v>Official American Express credit card listing; browser title confirmed.</x:v>
      </x:c>
      <x:c r="E3" s="43" t="str">
        <x:v>Amex often personalizes welcome-offer language; agents should capture channel and application path.</x:v>
      </x:c>
    </x:row>
    <x:row r="4">
      <x:c r="A4" s="43" t="str">
        <x:v>Citi</x:v>
      </x:c>
      <x:c r="B4" s="43" t="str">
        <x:v>https://www.citi.com/credit-cards/view-all-credit-cards</x:v>
      </x:c>
      <x:c r="C4" s="43" t="str">
        <x:v>https://www.citi.com/credit-cards</x:v>
      </x:c>
      <x:c r="D4" s="43" t="str">
        <x:v>Official Citi all-cards page; browser title confirmed.</x:v>
      </x:c>
      <x:c r="E4" s="43" t="str">
        <x:v>Citi has both bank-branded and retail/co-brand portfolios.</x:v>
      </x:c>
    </x:row>
    <x:row r="5">
      <x:c r="A5" s="43" t="str">
        <x:v>Capital One</x:v>
      </x:c>
      <x:c r="B5" s="43" t="str">
        <x:v>https://www.capitalone.com/credit-cards/</x:v>
      </x:c>
      <x:c r="C5" s="43" t="str">
        <x:v>https://www.capitalone.com/credit-cards/preapprove/</x:v>
      </x:c>
      <x:c r="D5" s="43" t="str">
        <x:v>Official Capital One credit card hub; browser title confirmed.</x:v>
      </x:c>
      <x:c r="E5" s="43" t="str">
        <x:v>Use brand pages for some co-brand offers because Capital One may route through partner microsites.</x:v>
      </x:c>
    </x:row>
    <x:row r="6">
      <x:c r="A6" s="43" t="str">
        <x:v>Bank of America</x:v>
      </x:c>
      <x:c r="B6" s="43" t="str">
        <x:v>https://www.bankofamerica.com/credit-cards/</x:v>
      </x:c>
      <x:c r="C6" s="43" t="str">
        <x:v>https://www.bankofamerica.com/credit-cards/products/</x:v>
      </x:c>
      <x:c r="D6" s="43" t="str">
        <x:v>Official Bank of America card hub; browser title confirmed.</x:v>
      </x:c>
      <x:c r="E6" s="43" t="str">
        <x:v>Travel co-brands often appear on both BofA and partner pages.</x:v>
      </x:c>
    </x:row>
    <x:row r="7">
      <x:c r="A7" s="43" t="str">
        <x:v>Wells Fargo</x:v>
      </x:c>
      <x:c r="B7" s="43" t="str">
        <x:v>https://creditcards.wellsfargo.com/</x:v>
      </x:c>
      <x:c r="C7" s="43" t="str">
        <x:v>https://www.wellsfargo.com/credit-cards/</x:v>
      </x:c>
      <x:c r="D7" s="43" t="str">
        <x:v>Official Wells Fargo credit card hub; browser title confirmed after redirect.</x:v>
      </x:c>
      <x:c r="E7" s="43" t="str">
        <x:v>Wells Fargo pages can redirect from www.wellsfargo.com to creditcards.wellsfargo.com.</x:v>
      </x:c>
    </x:row>
    <x:row r="8">
      <x:c r="A8" s="43" t="str">
        <x:v>U.S. Bank</x:v>
      </x:c>
      <x:c r="B8" s="43" t="str">
        <x:v>https://www.usbank.com/credit-cards.html</x:v>
      </x:c>
      <x:c r="C8" s="43" t="str">
        <x:v>https://www.usbank.com/credit-cards/co-branded-credit-cards.html</x:v>
      </x:c>
      <x:c r="D8" s="43" t="str">
        <x:v>Official U.S. Bank credit card hub; browser title confirmed.</x:v>
      </x:c>
      <x:c r="E8" s="43" t="str">
        <x:v>Kroger-family cards are often on separate microsites.</x:v>
      </x:c>
    </x:row>
    <x:row r="9">
      <x:c r="A9" s="43" t="str">
        <x:v>Discover</x:v>
      </x:c>
      <x:c r="B9" s="43" t="str">
        <x:v>https://www.discover.com/credit-cards/</x:v>
      </x:c>
      <x:c r="C9" s="43" t="str">
        <x:v>https://www.discover.com/credit-cards/cash-back/</x:v>
      </x:c>
      <x:c r="D9" s="43" t="str">
        <x:v>Official Discover card hub; browser title confirmed.</x:v>
      </x:c>
      <x:c r="E9" s="43" t="str">
        <x:v>Discover first-year match language can be central to offer research.</x:v>
      </x:c>
    </x:row>
    <x:row r="10">
      <x:c r="A10" s="43" t="str">
        <x:v>Barclays US</x:v>
      </x:c>
      <x:c r="B10" s="43" t="str">
        <x:v>https://cards.barclaycardus.com/</x:v>
      </x:c>
      <x:c r="C10" s="43" t="str">
        <x:v>https://cards.barclaycardus.com/banking/cards/</x:v>
      </x:c>
      <x:c r="D10" s="43" t="str">
        <x:v>Official Barclays US card site; browser title confirmed.</x:v>
      </x:c>
      <x:c r="E10" s="43" t="str">
        <x:v>Some Barclays product URLs are routed by partner pages; AA Aviator should be treated as transition/past-year context.</x:v>
      </x:c>
    </x:row>
    <x:row r="11">
      <x:c r="A11" s="43" t="str">
        <x:v>Synchrony</x:v>
      </x:c>
      <x:c r="B11" s="43" t="str">
        <x:v>https://www.synchrony.com/financing</x:v>
      </x:c>
      <x:c r="C11" s="43" t="str">
        <x:v>https://www.synchrony.com/marketplace</x:v>
      </x:c>
      <x:c r="D11" s="43" t="str">
        <x:v>Official Synchrony financing and marketplace hub; browser title confirmed.</x:v>
      </x:c>
      <x:c r="E11" s="43" t="str">
        <x:v>Huge catalog; downstream agents should search Synchrony plus the brand name for direct offer pages.</x:v>
      </x:c>
    </x:row>
    <x:row r="12">
      <x:c r="A12" s="43" t="str">
        <x:v>Bread Financial / Comenity</x:v>
      </x:c>
      <x:c r="B12" s="43" t="str">
        <x:v>https://www.breadfinancial.com/en/credit-cards.html</x:v>
      </x:c>
      <x:c r="C12" s="43" t="str">
        <x:v>https://www.comenity.net/</x:v>
      </x:c>
      <x:c r="D12" s="43" t="str">
        <x:v>Official Bread Financial credit card and Comenity servicing pages.</x:v>
      </x:c>
      <x:c r="E12" s="43" t="str">
        <x:v>Bread/Comenity offer details often live on brand microsites or Comenity application pages.</x:v>
      </x:c>
    </x:row>
    <x:row r="13">
      <x:c r="A13" s="43" t="str">
        <x:v>FNBO</x:v>
      </x:c>
      <x:c r="B13" s="43" t="str">
        <x:v>https://www.fnbo.com/personal-banking/credit-cards</x:v>
      </x:c>
      <x:c r="C13" s="43" t="str">
        <x:v>https://www.fnbo.com/personal-banking/credit-cards/partner-cards</x:v>
      </x:c>
      <x:c r="D13" s="43" t="str">
        <x:v>Official FNBO credit card hub; browser title confirmed.</x:v>
      </x:c>
      <x:c r="E13" s="43" t="str">
        <x:v>Partner-card catalog is valuable for co-brand discovery.</x:v>
      </x:c>
    </x:row>
    <x:row r="14">
      <x:c r="A14" s="43" t="str">
        <x:v>TD Bank</x:v>
      </x:c>
      <x:c r="B14" s="43" t="str">
        <x:v>https://www.td.com/us/en/personal-banking/credit-cards</x:v>
      </x:c>
      <x:c r="C14" s="43" t="str">
        <x:v>https://www.td.com/us/en/personal-banking/credit-cards/compare-cards</x:v>
      </x:c>
      <x:c r="D14" s="43" t="str">
        <x:v>Official TD Bank credit card hub; browser title confirmed.</x:v>
      </x:c>
      <x:c r="E14" s="43" t="str">
        <x:v>Retail co-brand offer research should start from the retail partner page.</x:v>
      </x:c>
    </x:row>
    <x:row r="15">
      <x:c r="A15" s="43" t="str">
        <x:v>PNC Bank</x:v>
      </x:c>
      <x:c r="B15" s="43" t="str">
        <x:v>https://www.pnc.com/en/personal-banking/banking/credit-cards.html</x:v>
      </x:c>
      <x:c r="C15" s="43" t="str"/>
      <x:c r="D15" s="43" t="str">
        <x:v>Official PNC credit card hub.</x:v>
      </x:c>
      <x:c r="E15" s="43" t="str"/>
    </x:row>
    <x:row r="16">
      <x:c r="A16" s="43" t="str">
        <x:v>Truist</x:v>
      </x:c>
      <x:c r="B16" s="43" t="str">
        <x:v>https://www.truist.com/credit-cards</x:v>
      </x:c>
      <x:c r="C16" s="43" t="str"/>
      <x:c r="D16" s="43" t="str">
        <x:v>Official Truist credit card hub.</x:v>
      </x:c>
      <x:c r="E16" s="43" t="str"/>
    </x:row>
    <x:row r="17">
      <x:c r="A17" s="43" t="str">
        <x:v>BMO</x:v>
      </x:c>
      <x:c r="B17" s="43" t="str">
        <x:v>https://www.bmo.com/en-us/main/personal/credit-cards/</x:v>
      </x:c>
      <x:c r="C17" s="43" t="str"/>
      <x:c r="D17" s="43" t="str">
        <x:v>Official BMO credit card hub.</x:v>
      </x:c>
      <x:c r="E17" s="43" t="str"/>
    </x:row>
    <x:row r="18">
      <x:c r="A18" s="43" t="str">
        <x:v>Fifth Third Bank</x:v>
      </x:c>
      <x:c r="B18" s="43" t="str">
        <x:v>https://www.53.com/content/fifth-third/en/personal-banking/bank/credit-cards.html</x:v>
      </x:c>
      <x:c r="C18" s="43" t="str"/>
      <x:c r="D18" s="43" t="str">
        <x:v>Official Fifth Third credit card hub.</x:v>
      </x:c>
      <x:c r="E18" s="43" t="str"/>
    </x:row>
    <x:row r="19">
      <x:c r="A19" s="43" t="str">
        <x:v>Huntington Bank</x:v>
      </x:c>
      <x:c r="B19" s="43" t="str">
        <x:v>https://www.huntington.com/Personal/credit-card</x:v>
      </x:c>
      <x:c r="C19" s="43" t="str"/>
      <x:c r="D19" s="43" t="str">
        <x:v>Official Huntington credit card hub.</x:v>
      </x:c>
      <x:c r="E19" s="43" t="str"/>
    </x:row>
    <x:row r="20">
      <x:c r="A20" s="43" t="str">
        <x:v>Regions Bank</x:v>
      </x:c>
      <x:c r="B20" s="43" t="str">
        <x:v>https://www.regions.com/personal-banking/credit-cards</x:v>
      </x:c>
      <x:c r="C20" s="43" t="str"/>
      <x:c r="D20" s="43" t="str">
        <x:v>Official Regions credit card hub.</x:v>
      </x:c>
      <x:c r="E20" s="43" t="str"/>
    </x:row>
    <x:row r="21">
      <x:c r="A21" s="43" t="str">
        <x:v>Citizens Bank</x:v>
      </x:c>
      <x:c r="B21" s="43" t="str">
        <x:v>https://www.citizensbank.com/credit-cards/overview.aspx</x:v>
      </x:c>
      <x:c r="C21" s="43" t="str"/>
      <x:c r="D21" s="43" t="str">
        <x:v>Official Citizens credit card hub.</x:v>
      </x:c>
      <x:c r="E21" s="43" t="str"/>
    </x:row>
    <x:row r="22">
      <x:c r="A22" s="43" t="str">
        <x:v>Navy Federal Credit Union</x:v>
      </x:c>
      <x:c r="B22" s="43" t="str">
        <x:v>https://www.navyfederal.org/loans-cards/credit-cards.html</x:v>
      </x:c>
      <x:c r="C22" s="43" t="str"/>
      <x:c r="D22" s="43" t="str">
        <x:v>Official Navy Federal credit card hub.</x:v>
      </x:c>
      <x:c r="E22" s="43" t="str">
        <x:v>Membership eligibility applies.</x:v>
      </x:c>
    </x:row>
    <x:row r="23">
      <x:c r="A23" s="43" t="str">
        <x:v>PenFed Credit Union</x:v>
      </x:c>
      <x:c r="B23" s="43" t="str">
        <x:v>https://www.penfed.org/credit-cards</x:v>
      </x:c>
      <x:c r="C23" s="43" t="str"/>
      <x:c r="D23" s="43" t="str">
        <x:v>Official PenFed credit card hub.</x:v>
      </x:c>
      <x:c r="E23" s="43" t="str">
        <x:v>Membership applies.</x:v>
      </x:c>
    </x:row>
    <x:row r="24">
      <x:c r="A24" s="43" t="str">
        <x:v>USAA</x:v>
      </x:c>
      <x:c r="B24" s="43" t="str">
        <x:v>https://www.usaa.com/inet/wc/bank-credit-cards</x:v>
      </x:c>
      <x:c r="C24" s="43" t="str"/>
      <x:c r="D24" s="43" t="str">
        <x:v>Official USAA credit card hub.</x:v>
      </x:c>
      <x:c r="E24" s="43" t="str">
        <x:v>Eligibility applies.</x:v>
      </x:c>
    </x:row>
    <x:row r="25">
      <x:c r="A25" s="43" t="str">
        <x:v>Alliant Credit Union</x:v>
      </x:c>
      <x:c r="B25" s="43" t="str">
        <x:v>https://www.alliantcreditunion.org/bank/visa-signature-card</x:v>
      </x:c>
      <x:c r="C25" s="43" t="str">
        <x:v>https://www.alliantcreditunion.org/bank/credit-cards</x:v>
      </x:c>
      <x:c r="D25" s="43" t="str">
        <x:v>Official Alliant credit card page.</x:v>
      </x:c>
      <x:c r="E25" s="43" t="str">
        <x:v>Membership applies.</x:v>
      </x:c>
    </x:row>
    <x:row r="26">
      <x:c r="A26" s="43" t="str">
        <x:v>First Tech Federal Credit Union</x:v>
      </x:c>
      <x:c r="B26" s="43" t="str">
        <x:v>https://www.firsttechfed.com/borrow/credit-cards</x:v>
      </x:c>
      <x:c r="C26" s="43" t="str"/>
      <x:c r="D26" s="43" t="str">
        <x:v>Official First Tech credit card hub.</x:v>
      </x:c>
      <x:c r="E26" s="43" t="str">
        <x:v>Membership applies.</x:v>
      </x:c>
    </x:row>
    <x:row r="27">
      <x:c r="A27" s="43" t="str">
        <x:v>SoFi</x:v>
      </x:c>
      <x:c r="B27" s="43" t="str">
        <x:v>https://www.sofi.com/credit-card/</x:v>
      </x:c>
      <x:c r="C27" s="43" t="str"/>
      <x:c r="D27" s="43" t="str">
        <x:v>Official SoFi credit card page.</x:v>
      </x:c>
      <x:c r="E27" s="43" t="str"/>
    </x:row>
    <x:row r="28">
      <x:c r="A28" s="43" t="str">
        <x:v>Elan Financial Services</x:v>
      </x:c>
      <x:c r="B28" s="43" t="str">
        <x:v>https://www.elanfinancialservices.com/credit-card/index.html</x:v>
      </x:c>
      <x:c r="C28" s="43" t="str">
        <x:v>https://www.fidelityrewards.com/</x:v>
      </x:c>
      <x:c r="D28" s="43" t="str">
        <x:v>Official Elan credit card and Fidelity Rewards card pages.</x:v>
      </x:c>
      <x:c r="E28" s="43" t="str">
        <x:v>Useful for financial-institution partner-card discovery.</x:v>
      </x:c>
    </x:row>
    <x:row r="29">
      <x:c r="A29" s="43" t="str">
        <x:v>Credit One Bank</x:v>
      </x:c>
      <x:c r="B29" s="43" t="str">
        <x:v>https://www.creditonebank.com/credit-cards</x:v>
      </x:c>
      <x:c r="C29" s="43" t="str"/>
      <x:c r="D29" s="43" t="str">
        <x:v>Official Credit One credit card hub.</x:v>
      </x:c>
      <x:c r="E29" s="43" t="str"/>
    </x:row>
    <x:row r="30">
      <x:c r="A30" s="43" t="str">
        <x:v>Upgrade</x:v>
      </x:c>
      <x:c r="B30" s="43" t="str">
        <x:v>https://www.upgrade.com/upgrade-card/</x:v>
      </x:c>
      <x:c r="C30" s="43" t="str">
        <x:v>https://www.upgrade.com/cards/</x:v>
      </x:c>
      <x:c r="D30" s="43" t="str">
        <x:v>Official Upgrade card pages.</x:v>
      </x:c>
      <x:c r="E30" s="43" t="str">
        <x:v>Program structure differs from conventional revolving credit cards; verify product terms.</x:v>
      </x:c>
    </x:row>
    <x:row r="31">
      <x:c r="A31" s="43" t="str">
        <x:v>Cardless</x:v>
      </x:c>
      <x:c r="B31" s="43" t="str">
        <x:v>https://www.cardless.com/</x:v>
      </x:c>
      <x:c r="C31" s="43" t="str">
        <x:v>https://www.cardless.com/cards</x:v>
      </x:c>
      <x:c r="D31" s="43" t="str">
        <x:v>Official Cardless site plus airline partner application pages.</x:v>
      </x:c>
      <x:c r="E31" s="43" t="str">
        <x:v>Use partner-specific Cardless microsites for final offers.</x:v>
      </x:c>
    </x:row>
    <x:row r="32">
      <x:c r="A32" s="43" t="str">
        <x:v>American Airlines AAdvantage</x:v>
      </x:c>
      <x:c r="B32" s="43" t="str">
        <x:v>https://creditcards.aa.com/</x:v>
      </x:c>
      <x:c r="C32" s="43" t="str">
        <x:v>https://www.citi.com/credit-cards/american-airlines-credit-cards</x:v>
      </x:c>
      <x:c r="D32" s="43" t="str">
        <x:v>Official American Airlines credit card landing page and Citi co-brand page.</x:v>
      </x:c>
      <x:c r="E32" s="43" t="str">
        <x:v>Track issuer transition carefully; do not assume Barclays accepts new AA applications.</x:v>
      </x:c>
    </x:row>
    <x:row r="33">
      <x:c r="A33" s="43" t="str">
        <x:v>Delta SkyMiles</x:v>
      </x:c>
      <x:c r="B33" s="43" t="str">
        <x:v>https://www.delta.com/us/en/skymiles/airline-credit-cards/overview</x:v>
      </x:c>
      <x:c r="C33" s="43" t="str">
        <x:v>https://www.americanexpress.com/us/credit-cards/card/delta-skymiles-gold-american-express-card/</x:v>
      </x:c>
      <x:c r="D33" s="43" t="str">
        <x:v>Official Delta card overview and Amex product pages.</x:v>
      </x:c>
      <x:c r="E33" s="43" t="str"/>
    </x:row>
    <x:row r="34">
      <x:c r="A34" s="43" t="str">
        <x:v>United MileagePlus</x:v>
      </x:c>
      <x:c r="B34" s="43" t="str">
        <x:v>https://www.united.com/en/us/fly/products/chase-cards.html</x:v>
      </x:c>
      <x:c r="C34" s="43" t="str">
        <x:v>https://creditcards.chase.com/travel-credit-cards/united</x:v>
      </x:c>
      <x:c r="D34" s="43" t="str">
        <x:v>Official United and Chase co-brand pages.</x:v>
      </x:c>
      <x:c r="E34" s="43" t="str"/>
    </x:row>
    <x:row r="35">
      <x:c r="A35" s="43" t="str">
        <x:v>Southwest Rapid Rewards</x:v>
      </x:c>
      <x:c r="B35" s="43" t="str">
        <x:v>https://www.southwest.com/rapid-rewards/credit-card/</x:v>
      </x:c>
      <x:c r="C35" s="43" t="str">
        <x:v>https://creditcards.chase.com/travel-credit-cards/southwest</x:v>
      </x:c>
      <x:c r="D35" s="43" t="str">
        <x:v>Official Southwest and Chase co-brand pages.</x:v>
      </x:c>
      <x:c r="E35" s="43" t="str"/>
    </x:row>
    <x:row r="36">
      <x:c r="A36" s="43" t="str">
        <x:v>Alaska Airlines Mileage Plan</x:v>
      </x:c>
      <x:c r="B36" s="43" t="str">
        <x:v>https://www.alaskaair.com/content/visa-signature-card</x:v>
      </x:c>
      <x:c r="C36" s="43" t="str">
        <x:v>https://www.bankofamerica.com/credit-cards/products/alaska-airlines-credit-card/</x:v>
      </x:c>
      <x:c r="D36" s="43" t="str">
        <x:v>Official Alaska Airlines and Bank of America co-brand pages.</x:v>
      </x:c>
      <x:c r="E36" s="43" t="str">
        <x:v>Hawaiian combination activity may affect future portfolio positioning; verify current issuer/channel.</x:v>
      </x:c>
    </x:row>
    <x:row r="37">
      <x:c r="A37" s="43" t="str">
        <x:v>JetBlue TrueBlue</x:v>
      </x:c>
      <x:c r="B37" s="43" t="str">
        <x:v>https://www.jetblue.com/trueblue/credit-cards</x:v>
      </x:c>
      <x:c r="C37" s="43" t="str">
        <x:v>https://cards.barclaycardus.com/banking/cards/jetblue-plus-card/</x:v>
      </x:c>
      <x:c r="D37" s="43" t="str">
        <x:v>Official JetBlue card page and Barclays product paths.</x:v>
      </x:c>
      <x:c r="E37" s="43" t="str"/>
    </x:row>
    <x:row r="38">
      <x:c r="A38" s="43" t="str">
        <x:v>Hawaiian Airlines HawaiianMiles</x:v>
      </x:c>
      <x:c r="B38" s="43" t="str">
        <x:v>https://hawaiianairlinesmastercard.com/</x:v>
      </x:c>
      <x:c r="C38" s="43" t="str">
        <x:v>https://www.hawaiianairlines.com/hawaiianmiles/partners/credit-card</x:v>
      </x:c>
      <x:c r="D38" s="43" t="str">
        <x:v>Official Hawaiian Airlines Mastercard microsite and HawaiianMiles partner page.</x:v>
      </x:c>
      <x:c r="E38" s="43" t="str">
        <x:v>Monitor Alaska-Hawaiian integration impacts.</x:v>
      </x:c>
    </x:row>
    <x:row r="39">
      <x:c r="A39" s="43" t="str">
        <x:v>Spirit Airlines Free Spirit</x:v>
      </x:c>
      <x:c r="B39" s="43" t="str">
        <x:v>https://www.spirit.com/s/free-spirit-credit-card</x:v>
      </x:c>
      <x:c r="C39" s="43" t="str">
        <x:v>https://www.bankofamerica.com/credit-cards/products/spirit-airlines-credit-card/</x:v>
      </x:c>
      <x:c r="D39" s="43" t="str">
        <x:v>Official Spirit and Bank of America co-brand pages.</x:v>
      </x:c>
      <x:c r="E39" s="43" t="str"/>
    </x:row>
    <x:row r="40">
      <x:c r="A40" s="43" t="str">
        <x:v>Frontier Miles</x:v>
      </x:c>
      <x:c r="B40" s="43" t="str">
        <x:v>https://www.flyfrontier.com/frontier-miles/world-mastercard/</x:v>
      </x:c>
      <x:c r="C40" s="43" t="str">
        <x:v>https://cards.barclaycardus.com/banking/cards/frontier-airlines-world-mastercard/</x:v>
      </x:c>
      <x:c r="D40" s="43" t="str">
        <x:v>Official Frontier and Barclays co-brand pages.</x:v>
      </x:c>
      <x:c r="E40" s="43" t="str"/>
    </x:row>
    <x:row r="41">
      <x:c r="A41" s="43" t="str">
        <x:v>Allegiant Allways Rewards</x:v>
      </x:c>
      <x:c r="B41" s="43" t="str">
        <x:v>https://www.allegiantair.com/allegiant-world-mastercard</x:v>
      </x:c>
      <x:c r="C41" s="43" t="str">
        <x:v>https://www.bankofamerica.com/credit-cards/products/allegiant-credit-card/</x:v>
      </x:c>
      <x:c r="D41" s="43" t="str">
        <x:v>Official Allegiant and Bank of America co-brand pages.</x:v>
      </x:c>
      <x:c r="E41" s="43" t="str"/>
    </x:row>
    <x:row r="42">
      <x:c r="A42" s="43" t="str">
        <x:v>Sun Country Rewards</x:v>
      </x:c>
      <x:c r="B42" s="43" t="str">
        <x:v>https://www.suncountry.com/rewards/card</x:v>
      </x:c>
      <x:c r="C42" s="43" t="str">
        <x:v>https://www.fnbo.com/personal-banking/credit-cards/sun-country-airlines-visa-card</x:v>
      </x:c>
      <x:c r="D42" s="43" t="str">
        <x:v>Official Sun Country rewards/card page and FNBO partner-card path.</x:v>
      </x:c>
      <x:c r="E42" s="43" t="str"/>
    </x:row>
    <x:row r="43">
      <x:c r="A43" s="43" t="str">
        <x:v>Breeze Airways</x:v>
      </x:c>
      <x:c r="B43" s="43" t="str">
        <x:v>https://www.flybreeze.com/page/breeze-easy-visa-card</x:v>
      </x:c>
      <x:c r="C43" s="43" t="str">
        <x:v>https://cards.barclaycardus.com/banking/cards/breeze-easy-visa-signature-card/</x:v>
      </x:c>
      <x:c r="D43" s="43" t="str">
        <x:v>Official Breeze and Barclays co-brand pages.</x:v>
      </x:c>
      <x:c r="E43" s="43" t="str"/>
    </x:row>
    <x:row r="44">
      <x:c r="A44" s="43" t="str">
        <x:v>Air Canada Aeroplan</x:v>
      </x:c>
      <x:c r="B44" s="43" t="str">
        <x:v>https://creditcards.chase.com/travel-credit-cards/aircanada/aeroplan</x:v>
      </x:c>
      <x:c r="C44" s="43" t="str">
        <x:v>https://www.aircanada.com/us/en/aco/home/aeroplan/credit-cards.html</x:v>
      </x:c>
      <x:c r="D44" s="43" t="str">
        <x:v>Official Chase and Air Canada Aeroplan credit card pages.</x:v>
      </x:c>
      <x:c r="E44" s="43" t="str">
        <x:v>U.S. card for Canadian airline loyalty program.</x:v>
      </x:c>
    </x:row>
    <x:row r="45">
      <x:c r="A45" s="43" t="str">
        <x:v>British Airways Executive Club</x:v>
      </x:c>
      <x:c r="B45" s="43" t="str">
        <x:v>https://creditcards.chase.com/travel-credit-cards/british-airways</x:v>
      </x:c>
      <x:c r="C45" s="43" t="str">
        <x:v>https://www.britishairways.com/en-us/executive-club/collecting-avios/credit-cards</x:v>
      </x:c>
      <x:c r="D45" s="43" t="str">
        <x:v>Official Chase British Airways card page and BA Avios card page.</x:v>
      </x:c>
      <x:c r="E45" s="43" t="str">
        <x:v>Part of Chase Avios card group.</x:v>
      </x:c>
    </x:row>
    <x:row r="46">
      <x:c r="A46" s="43" t="str">
        <x:v>Aer Lingus AerClub</x:v>
      </x:c>
      <x:c r="B46" s="43" t="str">
        <x:v>https://creditcards.chase.com/travel-credit-cards/aer-lingus</x:v>
      </x:c>
      <x:c r="C46" s="43" t="str">
        <x:v>https://creditcards.chase.com/travel-credit-cards/avios</x:v>
      </x:c>
      <x:c r="D46" s="43" t="str">
        <x:v>Official Chase Aer Lingus and Avios card pages.</x:v>
      </x:c>
      <x:c r="E46" s="43" t="str">
        <x:v>Part of Chase Avios card group.</x:v>
      </x:c>
    </x:row>
    <x:row r="47">
      <x:c r="A47" s="43" t="str">
        <x:v>Iberia Plus</x:v>
      </x:c>
      <x:c r="B47" s="43" t="str">
        <x:v>https://creditcards.chase.com/travel-credit-cards/iberia</x:v>
      </x:c>
      <x:c r="C47" s="43" t="str">
        <x:v>https://creditcards.chase.com/travel-credit-cards/avios</x:v>
      </x:c>
      <x:c r="D47" s="43" t="str">
        <x:v>Official Chase Iberia and Avios card pages.</x:v>
      </x:c>
      <x:c r="E47" s="43" t="str">
        <x:v>Part of Chase Avios card group.</x:v>
      </x:c>
    </x:row>
    <x:row r="48">
      <x:c r="A48" s="43" t="str">
        <x:v>Emirates Skywards</x:v>
      </x:c>
      <x:c r="B48" s="43" t="str">
        <x:v>https://www.emirates.com/us/english/skywards/partners/barclays/</x:v>
      </x:c>
      <x:c r="C48" s="43" t="str">
        <x:v>https://cards.barclaycardus.com/banking/cards/emirates-skywards-rewards-world-elite-mastercard/</x:v>
      </x:c>
      <x:c r="D48" s="43" t="str">
        <x:v>Official Emirates partner page and Barclays card path.</x:v>
      </x:c>
      <x:c r="E48" s="43" t="str"/>
    </x:row>
    <x:row r="49">
      <x:c r="A49" s="43" t="str">
        <x:v>Lufthansa Miles &amp; More</x:v>
      </x:c>
      <x:c r="B49" s="43" t="str">
        <x:v>https://www.miles-and-more.com/us/en/program/credit-cards.html</x:v>
      </x:c>
      <x:c r="C49" s="43" t="str">
        <x:v>https://cards.barclaycardus.com/banking/cards/lufthansa-miles-and-more-world-elite-mastercard/</x:v>
      </x:c>
      <x:c r="D49" s="43" t="str">
        <x:v>Official Miles &amp; More credit card page and Barclays card path.</x:v>
      </x:c>
      <x:c r="E49" s="43" t="str"/>
    </x:row>
    <x:row r="50">
      <x:c r="A50" s="43" t="str">
        <x:v>Virgin Red / Virgin Atlantic Flying Club</x:v>
      </x:c>
      <x:c r="B50" s="43" t="str">
        <x:v>https://www.virgin.com/virgin-red/credit-card</x:v>
      </x:c>
      <x:c r="C50" s="43" t="str">
        <x:v>https://www.synchrony.com/financing/virgin-red</x:v>
      </x:c>
      <x:c r="D50" s="43" t="str">
        <x:v>Official Virgin Red card page and Synchrony partner path.</x:v>
      </x:c>
      <x:c r="E50" s="43" t="str">
        <x:v>U.S. card is branded as Virgin Red, tied to Virgin loyalty ecosystem.</x:v>
      </x:c>
    </x:row>
    <x:row r="51">
      <x:c r="A51" s="43" t="str">
        <x:v>Cathay Pacific Cathay</x:v>
      </x:c>
      <x:c r="B51" s="43" t="str">
        <x:v>https://creditcard.cathaypacific.com/</x:v>
      </x:c>
      <x:c r="C51" s="43" t="str">
        <x:v>https://www.cathaypacific.com/cx/en_US/membership/credit-card.html</x:v>
      </x:c>
      <x:c r="D51" s="43" t="str">
        <x:v>Official Cathay credit card microsite and Cathay membership page.</x:v>
      </x:c>
      <x:c r="E51" s="43" t="str">
        <x:v>Launched in the recent/past-year window; verify issuer and terms.</x:v>
      </x:c>
    </x:row>
    <x:row r="52">
      <x:c r="A52" s="43" t="str">
        <x:v>Qatar Airways Privilege Club</x:v>
      </x:c>
      <x:c r="B52" s="43" t="str">
        <x:v>https://www.qatarairways.com/en-us/Privilege-Club/credit-cards.html</x:v>
      </x:c>
      <x:c r="C52" s="43" t="str">
        <x:v>https://qatarairways.cardless.com/</x:v>
      </x:c>
      <x:c r="D52" s="43" t="str">
        <x:v>Official Qatar Airways and Cardless co-brand pages.</x:v>
      </x:c>
      <x:c r="E52" s="43" t="str"/>
    </x:row>
    <x:row r="53">
      <x:c r="A53" s="43" t="str">
        <x:v>LATAM Pass</x:v>
      </x:c>
      <x:c r="B53" s="43" t="str">
        <x:v>https://latamairlines.cardless.com/</x:v>
      </x:c>
      <x:c r="C53" s="43" t="str">
        <x:v>https://www.latamairlines.com/us/en/latam-pass/earn-miles/credit-card</x:v>
      </x:c>
      <x:c r="D53" s="43" t="str">
        <x:v>Official Cardless LATAM page and LATAM Pass card page.</x:v>
      </x:c>
      <x:c r="E53" s="43" t="str"/>
    </x:row>
    <x:row r="54">
      <x:c r="A54" s="43" t="str">
        <x:v>Avianca LifeMiles</x:v>
      </x:c>
      <x:c r="B54" s="43" t="str">
        <x:v>https://lifemiles.cardless.com/</x:v>
      </x:c>
      <x:c r="C54" s="43" t="str">
        <x:v>https://www.lifemiles.com/earn/credit-card</x:v>
      </x:c>
      <x:c r="D54" s="43" t="str">
        <x:v>Official Cardless LifeMiles page and LifeMiles earn/card page.</x:v>
      </x:c>
      <x:c r="E54" s="43" t="str"/>
    </x:row>
    <x:row r="55">
      <x:c r="A55" s="43" t="str">
        <x:v>TAP Miles&amp;Go</x:v>
      </x:c>
      <x:c r="B55" s="43" t="str">
        <x:v>https://tap.cardless.com/</x:v>
      </x:c>
      <x:c r="C55" s="43" t="str">
        <x:v>https://www.flytap.com/en-us/miles-and-go/partners/cardless</x:v>
      </x:c>
      <x:c r="D55" s="43" t="str">
        <x:v>Official Cardless TAP page and TAP partner page.</x:v>
      </x:c>
      <x:c r="E55" s="43" t="str"/>
    </x:row>
    <x:row r="56">
      <x:c r="A56" s="43" t="str">
        <x:v>Turkish Airlines Miles&amp;Smiles</x:v>
      </x:c>
      <x:c r="B56" s="43" t="str">
        <x:v>https://turkishairlines.cardless.com/</x:v>
      </x:c>
      <x:c r="C56" s="43" t="str">
        <x:v>https://www.turkishairlines.com/en-us/miles-and-smiles/credit-card/</x:v>
      </x:c>
      <x:c r="D56" s="43" t="str">
        <x:v>Official Cardless Turkish Airlines page and Turkish Airlines credit card page.</x:v>
      </x:c>
      <x:c r="E56" s="43" t="str"/>
    </x:row>
    <x:row r="57">
      <x:c r="A57" s="43" t="str">
        <x:v>Korean Air SKYPASS</x:v>
      </x:c>
      <x:c r="B57" s="43" t="str">
        <x:v>https://www.skypassvisa.com/</x:v>
      </x:c>
      <x:c r="C57" s="43" t="str">
        <x:v>https://www.usbank.com/credit-cards/korean-airlines-visa-signature-credit-card.html</x:v>
      </x:c>
      <x:c r="D57" s="43" t="str">
        <x:v>Official SKYPASS Visa microsite and U.S. Bank product page.</x:v>
      </x:c>
      <x:c r="E57" s="43" t="str"/>
    </x:row>
    <x:row r="58">
      <x:c r="A58" s="43" t="str">
        <x:v>Amtrak Guest Rewards</x:v>
      </x:c>
      <x:c r="B58" s="43" t="str">
        <x:v>https://www.amtrak.com/guestrewards/apply</x:v>
      </x:c>
      <x:c r="C58" s="43" t="str">
        <x:v>https://www.fnbo.com/personal-banking/credit-cards/amtrak-guest-rewards</x:v>
      </x:c>
      <x:c r="D58" s="43" t="str">
        <x:v>Official Amtrak Guest Rewards application path and FNBO partner-card page.</x:v>
      </x:c>
      <x:c r="E58" s="43" t="str">
        <x:v>Rail, not airline, but relevant travel rewards issuer target.</x:v>
      </x:c>
    </x:row>
    <x:row r="59">
      <x:c r="A59" s="43" t="str">
        <x:v>Marriott Bonvoy</x:v>
      </x:c>
      <x:c r="B59" s="43" t="str">
        <x:v>https://www.marriott.com/credit-cards.mi</x:v>
      </x:c>
      <x:c r="C59" s="43" t="str">
        <x:v>https://creditcards.chase.com/travel-credit-cards/marriott-bonvoy</x:v>
      </x:c>
      <x:c r="D59" s="43" t="str">
        <x:v>Official Marriott credit card page plus Chase/Amex co-brand pages.</x:v>
      </x:c>
      <x:c r="E59" s="43" t="str">
        <x:v>Multiple issuers; capture product/channel separately.</x:v>
      </x:c>
    </x:row>
    <x:row r="60">
      <x:c r="A60" s="43" t="str">
        <x:v>Hilton Honors</x:v>
      </x:c>
      <x:c r="B60" s="43" t="str">
        <x:v>https://www.hilton.com/en/hilton-honors/credit-cards/</x:v>
      </x:c>
      <x:c r="C60" s="43" t="str">
        <x:v>https://www.americanexpress.com/us/credit-cards/card/hilton-honors-surpass/</x:v>
      </x:c>
      <x:c r="D60" s="43" t="str">
        <x:v>Official Hilton Honors and Amex card pages.</x:v>
      </x:c>
      <x:c r="E60" s="43" t="str"/>
    </x:row>
    <x:row r="61">
      <x:c r="A61" s="43" t="str">
        <x:v>World of Hyatt</x:v>
      </x:c>
      <x:c r="B61" s="43" t="str">
        <x:v>https://world.hyatt.com/content/gp/en/rewards/credit-card.html</x:v>
      </x:c>
      <x:c r="C61" s="43" t="str">
        <x:v>https://creditcards.chase.com/travel-credit-cards/world-of-hyatt-credit-card</x:v>
      </x:c>
      <x:c r="D61" s="43" t="str">
        <x:v>Official Hyatt and Chase co-brand pages.</x:v>
      </x:c>
      <x:c r="E61" s="43" t="str"/>
    </x:row>
    <x:row r="62">
      <x:c r="A62" s="43" t="str">
        <x:v>IHG One Rewards</x:v>
      </x:c>
      <x:c r="B62" s="43" t="str">
        <x:v>https://www.ihg.com/onerewards/content/us/en/creditcard</x:v>
      </x:c>
      <x:c r="C62" s="43" t="str">
        <x:v>https://creditcards.chase.com/travel-credit-cards/ihg</x:v>
      </x:c>
      <x:c r="D62" s="43" t="str">
        <x:v>Official IHG and Chase co-brand pages.</x:v>
      </x:c>
      <x:c r="E62" s="43" t="str"/>
    </x:row>
    <x:row r="63">
      <x:c r="A63" s="43" t="str">
        <x:v>Wyndham Rewards</x:v>
      </x:c>
      <x:c r="B63" s="43" t="str">
        <x:v>https://www.wyndhamrewardscreditcard.com/</x:v>
      </x:c>
      <x:c r="C63" s="43" t="str">
        <x:v>https://cards.barclaycardus.com/banking/cards/wyndham-rewards-earner-card/</x:v>
      </x:c>
      <x:c r="D63" s="43" t="str">
        <x:v>Official Wyndham Rewards credit card microsite and Barclays product path.</x:v>
      </x:c>
      <x:c r="E63" s="43" t="str"/>
    </x:row>
    <x:row r="64">
      <x:c r="A64" s="43" t="str">
        <x:v>Choice Privileges</x:v>
      </x:c>
      <x:c r="B64" s="43" t="str">
        <x:v>https://www.choicehotels.com/choice-privileges/rewards/credit-card</x:v>
      </x:c>
      <x:c r="C64" s="43" t="str">
        <x:v>https://www.wellsfargo.com/credit-cards/choice-privileges/</x:v>
      </x:c>
      <x:c r="D64" s="43" t="str">
        <x:v>Official Choice Hotels and Wells Fargo co-brand pages.</x:v>
      </x:c>
      <x:c r="E64" s="43" t="str"/>
    </x:row>
    <x:row r="65">
      <x:c r="A65" s="43" t="str">
        <x:v>Best Western Rewards</x:v>
      </x:c>
      <x:c r="B65" s="43" t="str">
        <x:v>https://www.bestwestern.com/en_US/best-western-rewards/mastercard.html</x:v>
      </x:c>
      <x:c r="C65" s="43" t="str">
        <x:v>https://www.bwrcard.com/</x:v>
      </x:c>
      <x:c r="D65" s="43" t="str">
        <x:v>Official Best Western Rewards Mastercard page and card microsite.</x:v>
      </x:c>
      <x:c r="E65" s="43" t="str">
        <x:v>Verify current issuer and application availability before offer scrape.</x:v>
      </x:c>
    </x:row>
    <x:row r="66">
      <x:c r="A66" s="43" t="str">
        <x:v>Sonesta Travel Pass</x:v>
      </x:c>
      <x:c r="B66" s="43" t="str">
        <x:v>https://www.sonesta.com/sonesta-travel-pass/credit-card</x:v>
      </x:c>
      <x:c r="C66" s="43" t="str">
        <x:v>https://www.bankofamerica.com/credit-cards/products/sonesta-credit-card/</x:v>
      </x:c>
      <x:c r="D66" s="43" t="str">
        <x:v>Official Sonesta and Bank of America co-brand pages.</x:v>
      </x:c>
      <x:c r="E66" s="43" t="str"/>
    </x:row>
    <x:row r="67">
      <x:c r="A67" s="43" t="str">
        <x:v>Caesars Rewards</x:v>
      </x:c>
      <x:c r="B67" s="43" t="str">
        <x:v>https://www.caesars.com/myrewards/partners/cr-visa-card</x:v>
      </x:c>
      <x:c r="C67" s="43" t="str">
        <x:v>https://www.caesarsrewardsvisa.com/</x:v>
      </x:c>
      <x:c r="D67" s="43" t="str">
        <x:v>Official Caesars Rewards Visa and Comenity-linked card pages.</x:v>
      </x:c>
      <x:c r="E67" s="43" t="str"/>
    </x:row>
    <x:row r="68">
      <x:c r="A68" s="43" t="str">
        <x:v>MGM Rewards</x:v>
      </x:c>
      <x:c r="B68" s="43" t="str">
        <x:v>https://www.mgmrewards.com/en/mgm-rewards-mastercard.html</x:v>
      </x:c>
      <x:c r="C68" s="43" t="str">
        <x:v>https://www.fnbo.com/personal-banking/credit-cards/mgm-rewards-mastercard</x:v>
      </x:c>
      <x:c r="D68" s="43" t="str">
        <x:v>Official MGM Rewards and FNBO co-brand pages.</x:v>
      </x:c>
      <x:c r="E68" s="43" t="str"/>
    </x:row>
    <x:row r="69">
      <x:c r="A69" s="43" t="str">
        <x:v>Disney Rewards</x:v>
      </x:c>
      <x:c r="B69" s="43" t="str">
        <x:v>https://disneyrewards.com/credit-cards/</x:v>
      </x:c>
      <x:c r="C69" s="43" t="str">
        <x:v>https://creditcards.chase.com/rewards-credit-cards/disney</x:v>
      </x:c>
      <x:c r="D69" s="43" t="str">
        <x:v>Official Disney Rewards and Chase co-brand pages.</x:v>
      </x:c>
      <x:c r="E69" s="43" t="str"/>
    </x:row>
    <x:row r="70">
      <x:c r="A70" s="43" t="str">
        <x:v>Universal Orlando Resort</x:v>
      </x:c>
      <x:c r="B70" s="43" t="str">
        <x:v>https://www.universalorlando.com/web/en/us/tickets-packages/universal-rewards-visa</x:v>
      </x:c>
      <x:c r="C70" s="43" t="str">
        <x:v>https://www.fnbo.com/personal-banking/credit-cards/universal-rewards-visa-signature-card</x:v>
      </x:c>
      <x:c r="D70" s="43" t="str">
        <x:v>Official Universal Orlando and FNBO co-brand pages.</x:v>
      </x:c>
      <x:c r="E70" s="43" t="str"/>
    </x:row>
    <x:row r="71">
      <x:c r="A71" s="43" t="str">
        <x:v>Carnival Cruise Line</x:v>
      </x:c>
      <x:c r="B71" s="43" t="str">
        <x:v>https://www.carnival.com/credit-card</x:v>
      </x:c>
      <x:c r="C71" s="43" t="str">
        <x:v>https://cards.barclaycardus.com/banking/cards/carnival-world-mastercard/</x:v>
      </x:c>
      <x:c r="D71" s="43" t="str">
        <x:v>Official Carnival and Barclays card pages.</x:v>
      </x:c>
      <x:c r="E71" s="43" t="str"/>
    </x:row>
    <x:row r="72">
      <x:c r="A72" s="43" t="str">
        <x:v>Princess Cruises</x:v>
      </x:c>
      <x:c r="B72" s="43" t="str">
        <x:v>https://www.princess.com/plan/princess-rewards-visa-card/</x:v>
      </x:c>
      <x:c r="C72" s="43" t="str">
        <x:v>https://cards.barclaycardus.com/banking/cards/princess-cruises-rewards-visa-card/</x:v>
      </x:c>
      <x:c r="D72" s="43" t="str">
        <x:v>Official Princess and Barclays card pages.</x:v>
      </x:c>
      <x:c r="E72" s="43" t="str"/>
    </x:row>
    <x:row r="73">
      <x:c r="A73" s="43" t="str">
        <x:v>Norwegian Cruise Line</x:v>
      </x:c>
      <x:c r="B73" s="43" t="str">
        <x:v>https://www.ncl.com/world-points</x:v>
      </x:c>
      <x:c r="C73" s="43" t="str">
        <x:v>https://www.bankofamerica.com/credit-cards/products/norwegian-cruise-line-credit-card/</x:v>
      </x:c>
      <x:c r="D73" s="43" t="str">
        <x:v>Official Norwegian WorldPoints and Bank of America card pages.</x:v>
      </x:c>
      <x:c r="E73" s="43" t="str"/>
    </x:row>
    <x:row r="74">
      <x:c r="A74" s="43" t="str">
        <x:v>Royal Caribbean</x:v>
      </x:c>
      <x:c r="B74" s="43" t="str">
        <x:v>https://www.royalcaribbean.com/visa-signature-card</x:v>
      </x:c>
      <x:c r="C74" s="43" t="str">
        <x:v>https://www.bankofamerica.com/credit-cards/products/royal-caribbean-credit-card/</x:v>
      </x:c>
      <x:c r="D74" s="43" t="str">
        <x:v>Official Royal Caribbean and Bank of America card pages.</x:v>
      </x:c>
      <x:c r="E74" s="43" t="str"/>
    </x:row>
    <x:row r="75">
      <x:c r="A75" s="43" t="str">
        <x:v>Celebrity Cruises</x:v>
      </x:c>
      <x:c r="B75" s="43" t="str">
        <x:v>https://www.celebritycruises.com/visa-signature-card</x:v>
      </x:c>
      <x:c r="C75" s="43" t="str">
        <x:v>https://www.bankofamerica.com/credit-cards/products/celebrity-cruises-credit-card/</x:v>
      </x:c>
      <x:c r="D75" s="43" t="str">
        <x:v>Official Celebrity and Bank of America card pages.</x:v>
      </x:c>
      <x:c r="E75" s="43" t="str"/>
    </x:row>
    <x:row r="76">
      <x:c r="A76" s="43" t="str">
        <x:v>Expedia One Key</x:v>
      </x:c>
      <x:c r="B76" s="43" t="str">
        <x:v>https://www.expedia.com/one-key-cards</x:v>
      </x:c>
      <x:c r="C76" s="43" t="str">
        <x:v>https://www.wellsfargo.com/credit-cards/one-key/</x:v>
      </x:c>
      <x:c r="D76" s="43" t="str">
        <x:v>Official Expedia One Key and Wells Fargo card pages.</x:v>
      </x:c>
      <x:c r="E76" s="43" t="str">
        <x:v>Covers Expedia, Hotels.com, and Vrbo One Key ecosystem.</x:v>
      </x:c>
    </x:row>
    <x:row r="77">
      <x:c r="A77" s="43" t="str">
        <x:v>Costco Wholesale</x:v>
      </x:c>
      <x:c r="B77" s="43" t="str">
        <x:v>https://www.costco.com/credit-card.html</x:v>
      </x:c>
      <x:c r="C77" s="43" t="str">
        <x:v>https://www.citi.com/credit-cards/citi-costco-anywhere-visa-credit-card</x:v>
      </x:c>
      <x:c r="D77" s="43" t="str">
        <x:v>Official Costco and Citi co-brand pages.</x:v>
      </x:c>
      <x:c r="E77" s="43" t="str"/>
    </x:row>
    <x:row r="78">
      <x:c r="A78" s="43" t="str">
        <x:v>Sam's Club</x:v>
      </x:c>
      <x:c r="B78" s="43" t="str">
        <x:v>https://www.samsclub.com/content/credit</x:v>
      </x:c>
      <x:c r="C78" s="43" t="str">
        <x:v>https://www.synchrony.com/financing/sams-club</x:v>
      </x:c>
      <x:c r="D78" s="43" t="str">
        <x:v>Official Sam's Club and Synchrony card pages.</x:v>
      </x:c>
      <x:c r="E78" s="43" t="str"/>
    </x:row>
    <x:row r="79">
      <x:c r="A79" s="43" t="str">
        <x:v>BJ's Wholesale Club</x:v>
      </x:c>
      <x:c r="B79" s="43" t="str">
        <x:v>https://www.bjs.com/credit-card</x:v>
      </x:c>
      <x:c r="C79" s="43" t="str">
        <x:v>https://www.capitalone.com/credit-cards/bjs-one-mastercard/</x:v>
      </x:c>
      <x:c r="D79" s="43" t="str">
        <x:v>Official BJ's and Capital One co-brand pages.</x:v>
      </x:c>
      <x:c r="E79" s="43" t="str"/>
    </x:row>
    <x:row r="80">
      <x:c r="A80" s="43" t="str">
        <x:v>Kroger</x:v>
      </x:c>
      <x:c r="B80" s="43" t="str">
        <x:v>https://www.krogermastercard.com/</x:v>
      </x:c>
      <x:c r="C80" s="43" t="str">
        <x:v>https://www.kroger.com/d/pr/credit-card</x:v>
      </x:c>
      <x:c r="D80" s="43" t="str">
        <x:v>Official Kroger Mastercard microsite and Kroger card page.</x:v>
      </x:c>
      <x:c r="E80" s="43" t="str">
        <x:v>Kroger-family banners often have separate microsites with similar offers.</x:v>
      </x:c>
    </x:row>
    <x:row r="81">
      <x:c r="A81" s="43" t="str">
        <x:v>Harris Teeter</x:v>
      </x:c>
      <x:c r="B81" s="43" t="str">
        <x:v>https://www.htmastercard.com/</x:v>
      </x:c>
      <x:c r="C81" s="43" t="str">
        <x:v>https://www.harristeeter.com/pr/rewards-world-elite-mastercard</x:v>
      </x:c>
      <x:c r="D81" s="43" t="str">
        <x:v>Official Harris Teeter Mastercard microsite and banner page.</x:v>
      </x:c>
      <x:c r="E81" s="43" t="str">
        <x:v>Kroger-family banner.</x:v>
      </x:c>
    </x:row>
    <x:row r="82">
      <x:c r="A82" s="43" t="str">
        <x:v>Fred Meyer</x:v>
      </x:c>
      <x:c r="B82" s="43" t="str">
        <x:v>https://www.fredmeyermastercard.com/</x:v>
      </x:c>
      <x:c r="C82" s="43" t="str">
        <x:v>https://www.fredmeyer.com/pr/rewards-world-elite-mastercard</x:v>
      </x:c>
      <x:c r="D82" s="43" t="str">
        <x:v>Official Fred Meyer Mastercard microsite and banner page.</x:v>
      </x:c>
      <x:c r="E82" s="43" t="str">
        <x:v>Kroger-family banner.</x:v>
      </x:c>
    </x:row>
    <x:row r="83">
      <x:c r="A83" s="43" t="str">
        <x:v>Ralphs</x:v>
      </x:c>
      <x:c r="B83" s="43" t="str">
        <x:v>https://www.ralphsmastercard.com/</x:v>
      </x:c>
      <x:c r="C83" s="43" t="str">
        <x:v>https://www.ralphs.com/pr/rewards-world-elite-mastercard</x:v>
      </x:c>
      <x:c r="D83" s="43" t="str">
        <x:v>Official Ralphs Mastercard microsite and banner page.</x:v>
      </x:c>
      <x:c r="E83" s="43" t="str">
        <x:v>Kroger-family banner.</x:v>
      </x:c>
    </x:row>
    <x:row r="84">
      <x:c r="A84" s="43" t="str">
        <x:v>King Soopers</x:v>
      </x:c>
      <x:c r="B84" s="43" t="str">
        <x:v>https://www.kingsoopersmastercard.com/</x:v>
      </x:c>
      <x:c r="C84" s="43" t="str">
        <x:v>https://www.kingsoopers.com/pr/rewards-world-elite-mastercard</x:v>
      </x:c>
      <x:c r="D84" s="43" t="str">
        <x:v>Official King Soopers Mastercard microsite and banner page.</x:v>
      </x:c>
      <x:c r="E84" s="43" t="str">
        <x:v>Kroger-family banner.</x:v>
      </x:c>
    </x:row>
    <x:row r="85">
      <x:c r="A85" s="43" t="str">
        <x:v>Meijer</x:v>
      </x:c>
      <x:c r="B85" s="43" t="str">
        <x:v>https://www.meijer.com/services/credit-card.html</x:v>
      </x:c>
      <x:c r="C85" s="43" t="str">
        <x:v>https://citiretailservices.citibankonline.com/RSnextgen/svc/launch/index.action?siteId=PLCN_MEIJER</x:v>
      </x:c>
      <x:c r="D85" s="43" t="str">
        <x:v>Official Meijer credit card page and Citi Retail Services servicing path.</x:v>
      </x:c>
      <x:c r="E85" s="43" t="str"/>
    </x:row>
    <x:row r="86">
      <x:c r="A86" s="43" t="str">
        <x:v>Target</x:v>
      </x:c>
      <x:c r="B86" s="43" t="str">
        <x:v>https://www.target.com/circlecard</x:v>
      </x:c>
      <x:c r="C86" s="43" t="str">
        <x:v>https://www.target.com/circlecard/credit-card</x:v>
      </x:c>
      <x:c r="D86" s="43" t="str">
        <x:v>Official Target Circle Card pages.</x:v>
      </x:c>
      <x:c r="E86" s="43" t="str">
        <x:v>Target Circle includes debit and reloadable products; isolate credit card offer.</x:v>
      </x:c>
    </x:row>
    <x:row r="87">
      <x:c r="A87" s="43" t="str">
        <x:v>Amazon / Whole Foods Market</x:v>
      </x:c>
      <x:c r="B87" s="43" t="str">
        <x:v>https://www.amazon.com/Prime-Visa/dp/B007URFTYI</x:v>
      </x:c>
      <x:c r="C87" s="43" t="str">
        <x:v>https://creditcards.chase.com/cash-back-credit-cards/amazon</x:v>
      </x:c>
      <x:c r="D87" s="43" t="str">
        <x:v>Official Amazon card page and Chase Amazon card page.</x:v>
      </x:c>
      <x:c r="E87" s="43" t="str">
        <x:v>Whole Foods rewards typically flow through Amazon/Prime Visa.</x:v>
      </x:c>
    </x:row>
    <x:row r="88">
      <x:c r="A88" s="43" t="str">
        <x:v>Instacart</x:v>
      </x:c>
      <x:c r="B88" s="43" t="str">
        <x:v>https://www.instacart.com/store/credit-card</x:v>
      </x:c>
      <x:c r="C88" s="43" t="str">
        <x:v>https://creditcards.chase.com/cash-back-credit-cards/instacart</x:v>
      </x:c>
      <x:c r="D88" s="43" t="str">
        <x:v>Official Instacart and Chase co-brand pages.</x:v>
      </x:c>
      <x:c r="E88" s="43" t="str"/>
    </x:row>
    <x:row r="89">
      <x:c r="A89" s="43" t="str">
        <x:v>DoorDash</x:v>
      </x:c>
      <x:c r="B89" s="43" t="str">
        <x:v>https://help.doordash.com/en-us/consumers/article/doordash-rewards-mastercard</x:v>
      </x:c>
      <x:c r="C89" s="43" t="str">
        <x:v>https://creditcards.chase.com/cash-back-credit-cards/doordash</x:v>
      </x:c>
      <x:c r="D89" s="43" t="str">
        <x:v>Official DoorDash consumer Mastercard help page and Chase co-brand page.</x:v>
      </x:c>
      <x:c r="E89" s="43" t="str">
        <x:v>Verify consumer rewards card versus Dasher/driver financial products if URLs shift.</x:v>
      </x:c>
    </x:row>
    <x:row r="90">
      <x:c r="A90" s="43" t="str">
        <x:v>Best Buy</x:v>
      </x:c>
      <x:c r="B90" s="43" t="str">
        <x:v>https://www.bestbuy.com/site/financing-rewards/learn-about-best-buy-credit-cards/pcmcat102500050032.c</x:v>
      </x:c>
      <x:c r="C90" s="43" t="str">
        <x:v>https://citiretailservices.citibankonline.com/RSnextgen/svc/launch/index.action?siteId=PLCN_BESTBUY</x:v>
      </x:c>
      <x:c r="D90" s="43" t="str">
        <x:v>Official Best Buy card page and Citi Retail Services path.</x:v>
      </x:c>
      <x:c r="E90" s="43" t="str"/>
    </x:row>
    <x:row r="91">
      <x:c r="A91" s="43" t="str">
        <x:v>Macy's</x:v>
      </x:c>
      <x:c r="B91" s="43" t="str">
        <x:v>https://www.macys.com/p/credit-service/marketing/main/</x:v>
      </x:c>
      <x:c r="C91" s="43" t="str">
        <x:v>https://www.macys.com/my-credit/gateway/guest</x:v>
      </x:c>
      <x:c r="D91" s="43" t="str">
        <x:v>Official Macy's credit card pages.</x:v>
      </x:c>
      <x:c r="E91" s="43" t="str"/>
    </x:row>
    <x:row r="92">
      <x:c r="A92" s="43" t="str">
        <x:v>Bloomingdale's</x:v>
      </x:c>
      <x:c r="B92" s="43" t="str">
        <x:v>https://www.bloomingdales.com/my-credit/gateway/guest</x:v>
      </x:c>
      <x:c r="C92" s="43" t="str">
        <x:v>https://www.bloomingdales.com/b/credit-card/</x:v>
      </x:c>
      <x:c r="D92" s="43" t="str">
        <x:v>Official Bloomingdale's credit card pages.</x:v>
      </x:c>
      <x:c r="E92" s="43" t="str"/>
    </x:row>
    <x:row r="93">
      <x:c r="A93" s="43" t="str">
        <x:v>Nordstrom</x:v>
      </x:c>
      <x:c r="B93" s="43" t="str">
        <x:v>https://www.nordstrom.com/browse/customer-service/credit-card</x:v>
      </x:c>
      <x:c r="C93" s="43" t="str">
        <x:v>https://www.nordstromcard.com/</x:v>
      </x:c>
      <x:c r="D93" s="43" t="str">
        <x:v>Official Nordstrom credit card page and card servicing microsite.</x:v>
      </x:c>
      <x:c r="E93" s="43" t="str"/>
    </x:row>
    <x:row r="94">
      <x:c r="A94" s="43" t="str">
        <x:v>Kohl's</x:v>
      </x:c>
      <x:c r="B94" s="43" t="str">
        <x:v>https://www.kohls.com/feature/kohls-card.jsp</x:v>
      </x:c>
      <x:c r="C94" s="43" t="str">
        <x:v>https://www.kohls.com/feature/kohls-card-rewards.jsp</x:v>
      </x:c>
      <x:c r="D94" s="43" t="str">
        <x:v>Official Kohl's card pages.</x:v>
      </x:c>
      <x:c r="E94" s="43" t="str">
        <x:v>Rewards are tied to Kohl's loyalty/discount ecosystem; verify credit-card-specific offer.</x:v>
      </x:c>
    </x:row>
    <x:row r="95">
      <x:c r="A95" s="43" t="str">
        <x:v>Dillard's</x:v>
      </x:c>
      <x:c r="B95" s="43" t="str">
        <x:v>https://www.dillards.com/c/card-benefits</x:v>
      </x:c>
      <x:c r="C95" s="43" t="str">
        <x:v>https://dillards.myonlineresourcecenter.com/</x:v>
      </x:c>
      <x:c r="D95" s="43" t="str">
        <x:v>Official Dillard's card benefits and Wells Fargo servicing path.</x:v>
      </x:c>
      <x:c r="E95" s="43" t="str"/>
    </x:row>
    <x:row r="96">
      <x:c r="A96" s="43" t="str">
        <x:v>Gap Inc.</x:v>
      </x:c>
      <x:c r="B96" s="43" t="str">
        <x:v>https://www.gap.com/browse/info.do?cid=1195039</x:v>
      </x:c>
      <x:c r="C96" s="43" t="str">
        <x:v>https://oldnavy.gap.com/browse/info.do?cid=1192659</x:v>
      </x:c>
      <x:c r="D96" s="43" t="str">
        <x:v>Official Gap/Old Navy family card pages.</x:v>
      </x:c>
      <x:c r="E96" s="43" t="str">
        <x:v>One portfolio spans multiple Gap Inc. brands; agents may split by banner if needed.</x:v>
      </x:c>
    </x:row>
    <x:row r="97">
      <x:c r="A97" s="43" t="str">
        <x:v>Ulta Beauty</x:v>
      </x:c>
      <x:c r="B97" s="43" t="str">
        <x:v>https://www.ulta.com/creditcards</x:v>
      </x:c>
      <x:c r="C97" s="43" t="str">
        <x:v>https://d.comenity.net/ultamaterewardsmastercard/</x:v>
      </x:c>
      <x:c r="D97" s="43" t="str">
        <x:v>Official Ulta credit card and Comenity servicing pages.</x:v>
      </x:c>
      <x:c r="E97" s="43" t="str"/>
    </x:row>
    <x:row r="98">
      <x:c r="A98" s="43" t="str">
        <x:v>Sephora</x:v>
      </x:c>
      <x:c r="B98" s="43" t="str">
        <x:v>https://www.sephora.com/creditcard</x:v>
      </x:c>
      <x:c r="C98" s="43" t="str">
        <x:v>https://d.comenity.net/sephoracard/</x:v>
      </x:c>
      <x:c r="D98" s="43" t="str">
        <x:v>Official Sephora credit card and Comenity servicing pages.</x:v>
      </x:c>
      <x:c r="E98" s="43" t="str"/>
    </x:row>
    <x:row r="99">
      <x:c r="A99" s="43" t="str">
        <x:v>Victoria's Secret</x:v>
      </x:c>
      <x:c r="B99" s="43" t="str">
        <x:v>https://www.victoriassecret.com/us/vs/vs-credit-card</x:v>
      </x:c>
      <x:c r="C99" s="43" t="str">
        <x:v>https://d.comenity.net/victoriassecret/</x:v>
      </x:c>
      <x:c r="D99" s="43" t="str">
        <x:v>Official Victoria's Secret credit card and Comenity servicing pages.</x:v>
      </x:c>
      <x:c r="E99" s="43" t="str"/>
    </x:row>
    <x:row r="100">
      <x:c r="A100" s="43" t="str">
        <x:v>TJX Rewards</x:v>
      </x:c>
      <x:c r="B100" s="43" t="str">
        <x:v>https://www.tjxrewards.com/</x:v>
      </x:c>
      <x:c r="C100" s="43" t="str">
        <x:v>https://www.synchrony.com/financing/tjx-rewards</x:v>
      </x:c>
      <x:c r="D100" s="43" t="str">
        <x:v>Official TJX Rewards and Synchrony card pages.</x:v>
      </x:c>
      <x:c r="E100" s="43" t="str">
        <x:v>Covers T.J.Maxx, Marshalls, HomeGoods, Sierra, Homesense.</x:v>
      </x:c>
    </x:row>
    <x:row r="101">
      <x:c r="A101" s="43" t="str">
        <x:v>Lowe's</x:v>
      </x:c>
      <x:c r="B101" s="43" t="str">
        <x:v>https://www.lowes.com/l/Credit.html</x:v>
      </x:c>
      <x:c r="C101" s="43" t="str">
        <x:v>https://www.synchrony.com/financing/lowes</x:v>
      </x:c>
      <x:c r="D101" s="43" t="str">
        <x:v>Official Lowe's credit center and Synchrony card pages.</x:v>
      </x:c>
      <x:c r="E101" s="43" t="str">
        <x:v>Some value prop is discount/financing rather than points; verify reward mechanics.</x:v>
      </x:c>
    </x:row>
    <x:row r="102">
      <x:c r="A102" s="43" t="str">
        <x:v>Williams-Sonoma, Inc. / The Key Rewards</x:v>
      </x:c>
      <x:c r="B102" s="43" t="str">
        <x:v>https://www.capitalone.com/credit-cards/williams-sonoma-key-rewards/</x:v>
      </x:c>
      <x:c r="C102" s="43" t="str">
        <x:v>https://www.williams-sonoma.com/customer-service/credit-card.html</x:v>
      </x:c>
      <x:c r="D102" s="43" t="str">
        <x:v>Official Capital One and Williams-Sonoma family card pages.</x:v>
      </x:c>
      <x:c r="E102" s="43" t="str">
        <x:v>Shared rewards program across Williams Sonoma, Pottery Barn, West Elm, Rejuvenation, Mark &amp; Graham.</x:v>
      </x:c>
    </x:row>
    <x:row r="103">
      <x:c r="A103" s="43" t="str">
        <x:v>L.L.Bean</x:v>
      </x:c>
      <x:c r="B103" s="43" t="str">
        <x:v>https://www.llbeanmastercard.com/</x:v>
      </x:c>
      <x:c r="C103" s="43" t="str">
        <x:v>https://www.llbean.com/llb/shop/510624</x:v>
      </x:c>
      <x:c r="D103" s="43" t="str">
        <x:v>Official L.L.Bean Mastercard microsite and L.L.Bean card page.</x:v>
      </x:c>
      <x:c r="E103" s="43" t="str"/>
    </x:row>
    <x:row r="104">
      <x:c r="A104" s="43" t="str">
        <x:v>REI Co-op</x:v>
      </x:c>
      <x:c r="B104" s="43" t="str">
        <x:v>https://www.rei.com/membership/mastercard</x:v>
      </x:c>
      <x:c r="C104" s="43" t="str">
        <x:v>https://www.capitalone.com/credit-cards/rei-coop-mastercard/</x:v>
      </x:c>
      <x:c r="D104" s="43" t="str">
        <x:v>Official REI and Capital One co-brand pages.</x:v>
      </x:c>
      <x:c r="E104" s="43" t="str"/>
    </x:row>
    <x:row r="105">
      <x:c r="A105" s="43" t="str">
        <x:v>Bass Pro Shops</x:v>
      </x:c>
      <x:c r="B105" s="43" t="str">
        <x:v>https://www.basspro.com/shop/en/club</x:v>
      </x:c>
      <x:c r="C105" s="43" t="str">
        <x:v>https://www.capitalone.com/credit-cards/bass-pro-shops-club/</x:v>
      </x:c>
      <x:c r="D105" s="43" t="str">
        <x:v>Official Bass Pro CLUB and Capital One co-brand pages.</x:v>
      </x:c>
      <x:c r="E105" s="43" t="str"/>
    </x:row>
    <x:row r="106">
      <x:c r="A106" s="43" t="str">
        <x:v>Cabela's</x:v>
      </x:c>
      <x:c r="B106" s="43" t="str">
        <x:v>https://www.cabelas.com/shop/en/club</x:v>
      </x:c>
      <x:c r="C106" s="43" t="str">
        <x:v>https://www.capitalone.com/credit-cards/cabelas-club/</x:v>
      </x:c>
      <x:c r="D106" s="43" t="str">
        <x:v>Official Cabela's CLUB and Capital One co-brand pages.</x:v>
      </x:c>
      <x:c r="E106" s="43" t="str"/>
    </x:row>
    <x:row r="107">
      <x:c r="A107" s="43" t="str">
        <x:v>DICK'S Sporting Goods</x:v>
      </x:c>
      <x:c r="B107" s="43" t="str">
        <x:v>https://www.dickssportinggoods.com/s/creditcard</x:v>
      </x:c>
      <x:c r="C107" s="43" t="str">
        <x:v>https://www.synchrony.com/financing/dicks-sporting-goods</x:v>
      </x:c>
      <x:c r="D107" s="43" t="str">
        <x:v>Official DICK'S credit card and Synchrony card pages.</x:v>
      </x:c>
      <x:c r="E107" s="43" t="str"/>
    </x:row>
    <x:row r="108">
      <x:c r="A108" s="43" t="str">
        <x:v>Academy Sports + Outdoors</x:v>
      </x:c>
      <x:c r="B108" s="43" t="str">
        <x:v>https://www.academy.com/academy-credit-card</x:v>
      </x:c>
      <x:c r="C108" s="43" t="str">
        <x:v>https://d.comenity.net/academy/</x:v>
      </x:c>
      <x:c r="D108" s="43" t="str">
        <x:v>Official Academy and Comenity card pages.</x:v>
      </x:c>
      <x:c r="E108" s="43" t="str"/>
    </x:row>
    <x:row r="109">
      <x:c r="A109" s="43" t="str">
        <x:v>Wayfair</x:v>
      </x:c>
      <x:c r="B109" s="43" t="str">
        <x:v>https://www.wayfair.com/creditcard</x:v>
      </x:c>
      <x:c r="C109" s="43" t="str">
        <x:v>https://citiretailservices.citibankonline.com/RSnextgen/svc/launch/index.action?siteId=PLCN_WAYFAIR</x:v>
      </x:c>
      <x:c r="D109" s="43" t="str">
        <x:v>Official Wayfair card page and Citi Retail Services path.</x:v>
      </x:c>
      <x:c r="E109" s="43" t="str"/>
    </x:row>
    <x:row r="110">
      <x:c r="A110" s="43" t="str">
        <x:v>PayPal</x:v>
      </x:c>
      <x:c r="B110" s="43" t="str">
        <x:v>https://www.paypal.com/us/digital-wallet/manage-money/paypal-cashback-mastercard</x:v>
      </x:c>
      <x:c r="C110" s="43" t="str">
        <x:v>https://www.synchrony.com/financing/paypal</x:v>
      </x:c>
      <x:c r="D110" s="43" t="str">
        <x:v>Official PayPal and Synchrony card pages.</x:v>
      </x:c>
      <x:c r="E110" s="43" t="str"/>
    </x:row>
    <x:row r="111">
      <x:c r="A111" s="43" t="str">
        <x:v>Venmo</x:v>
      </x:c>
      <x:c r="B111" s="43" t="str">
        <x:v>https://venmo.com/about/creditcard/</x:v>
      </x:c>
      <x:c r="C111" s="43" t="str">
        <x:v>https://www.synchrony.com/financing/venmo</x:v>
      </x:c>
      <x:c r="D111" s="43" t="str">
        <x:v>Official Venmo and Synchrony card pages.</x:v>
      </x:c>
      <x:c r="E111" s="43" t="str"/>
    </x:row>
    <x:row r="112">
      <x:c r="A112" s="43" t="str">
        <x:v>Apple</x:v>
      </x:c>
      <x:c r="B112" s="43" t="str">
        <x:v>https://www.apple.com/apple-card/</x:v>
      </x:c>
      <x:c r="C112" s="43" t="str">
        <x:v>https://support.apple.com/apple-card</x:v>
      </x:c>
      <x:c r="D112" s="43" t="str">
        <x:v>Official Apple Card page and Apple support.</x:v>
      </x:c>
      <x:c r="E112" s="43" t="str">
        <x:v>Issuer relationship has been newsworthy; agents should verify current issuer at scrape time.</x:v>
      </x:c>
    </x:row>
    <x:row r="113">
      <x:c r="A113" s="43" t="str">
        <x:v>Verizon</x:v>
      </x:c>
      <x:c r="B113" s="43" t="str">
        <x:v>https://www.verizon.com/solutions-and-services/verizon-visa-card/</x:v>
      </x:c>
      <x:c r="C113" s="43" t="str">
        <x:v>https://www.synchrony.com/financing/verizon-visa-card</x:v>
      </x:c>
      <x:c r="D113" s="43" t="str">
        <x:v>Official Verizon and Synchrony card pages.</x:v>
      </x:c>
      <x:c r="E113" s="43" t="str"/>
    </x:row>
    <x:row r="114">
      <x:c r="A114" s="43" t="str">
        <x:v>General Motors</x:v>
      </x:c>
      <x:c r="B114" s="43" t="str">
        <x:v>https://www.gmfinancial.com/en-us/myaccount/credit-card.html</x:v>
      </x:c>
      <x:c r="C114" s="43" t="str">
        <x:v>https://www.marcus.com/us/en/credit-cards/gm-cards</x:v>
      </x:c>
      <x:c r="D114" s="43" t="str">
        <x:v>Official GM Financial and Marcus GM card pages.</x:v>
      </x:c>
      <x:c r="E114" s="43" t="str"/>
    </x:row>
    <x:row r="115">
      <x:c r="A115" s="43" t="str">
        <x:v>FordPass Rewards</x:v>
      </x:c>
      <x:c r="B115" s="43" t="str">
        <x:v>https://www.ford.com/finance/credit-card/</x:v>
      </x:c>
      <x:c r="C115" s="43" t="str">
        <x:v>https://www.fnbo.com/personal-banking/credit-cards/fordpass-rewards-visa-card</x:v>
      </x:c>
      <x:c r="D115" s="43" t="str">
        <x:v>Official Ford and FNBO co-brand pages.</x:v>
      </x:c>
      <x:c r="E115" s="43" t="str"/>
    </x:row>
    <x:row r="116">
      <x:c r="A116" s="43" t="str">
        <x:v>Toyota Rewards</x:v>
      </x:c>
      <x:c r="B116" s="43" t="str">
        <x:v>https://www.toyotarewardsvisa.com/</x:v>
      </x:c>
      <x:c r="C116" s="43" t="str">
        <x:v>https://d.comenity.net/toyotarewardsvisa/</x:v>
      </x:c>
      <x:c r="D116" s="43" t="str">
        <x:v>Official Toyota Rewards Visa and Comenity pages.</x:v>
      </x:c>
      <x:c r="E116" s="43" t="str">
        <x:v>Verify application availability and issuer terms.</x:v>
      </x:c>
    </x:row>
    <x:row r="117">
      <x:c r="A117" s="43" t="str">
        <x:v>Harley-Davidson</x:v>
      </x:c>
      <x:c r="B117" s="43" t="str">
        <x:v>https://www.harley-davidson.com/us/en/tools/credit-card.html</x:v>
      </x:c>
      <x:c r="C117" s="43" t="str">
        <x:v>https://www.usbank.com/credit-cards/harley-davidson-visa-credit-card.html</x:v>
      </x:c>
      <x:c r="D117" s="43" t="str">
        <x:v>Official Harley-Davidson and U.S. Bank co-brand pages.</x:v>
      </x:c>
      <x:c r="E117" s="43" t="str"/>
    </x:row>
    <x:row r="118">
      <x:c r="A118" s="43" t="str">
        <x:v>AARP</x:v>
      </x:c>
      <x:c r="B118" s="43" t="str">
        <x:v>https://www.aarpcreditcard.com/</x:v>
      </x:c>
      <x:c r="C118" s="43" t="str">
        <x:v>https://cards.barclaycardus.com/banking/cards/aarp-essential-rewards-mastercard/</x:v>
      </x:c>
      <x:c r="D118" s="43" t="str">
        <x:v>Official AARP credit card microsite and Barclays product path.</x:v>
      </x:c>
      <x:c r="E118" s="43" t="str"/>
    </x:row>
    <x:row r="119">
      <x:c r="A119" s="43" t="str">
        <x:v>AAA</x:v>
      </x:c>
      <x:c r="B119" s="43" t="str">
        <x:v>https://www.ace.aaa.com/financial/aaa-credit-card.html</x:v>
      </x:c>
      <x:c r="C119" s="43" t="str">
        <x:v>https://www.aaa.com/AAA/common/financial/AAA_Credit_Card.html</x:v>
      </x:c>
      <x:c r="D119" s="43" t="str">
        <x:v>Official AAA club credit card pages and Comenity application paths.</x:v>
      </x:c>
      <x:c r="E119" s="43" t="str">
        <x:v>AAA card URLs vary by club region; record club used.</x:v>
      </x:c>
    </x:row>
    <x:row r="120">
      <x:c r="A120" s="43" t="str">
        <x:v>Fidelity Investments</x:v>
      </x:c>
      <x:c r="B120" s="43" t="str">
        <x:v>https://www.fidelity.com/spend-save/visa-signature-card</x:v>
      </x:c>
      <x:c r="C120" s="43" t="str">
        <x:v>https://www.fidelityrewards.com/</x:v>
      </x:c>
      <x:c r="D120" s="43" t="str">
        <x:v>Official Fidelity and Fidelity Rewards card pages.</x:v>
      </x:c>
      <x:c r="E120" s="43" t="str"/>
    </x:row>
    <x:row r="121">
      <x:c r="A121" s="43" t="str">
        <x:v>Bilt Rewards</x:v>
      </x:c>
      <x:c r="B121" s="43" t="str">
        <x:v>https://www.biltrewards.com/card</x:v>
      </x:c>
      <x:c r="C121" s="43" t="str">
        <x:v>https://creditcards.wellsfargo.com/bilt-rewards-credit-card/</x:v>
      </x:c>
      <x:c r="D121" s="43" t="str">
        <x:v>Official Bilt and Wells Fargo card pages.</x:v>
      </x:c>
      <x:c r="E121" s="43" t="str">
        <x:v>Program has unique rent-payment rewards; capture terms carefully.</x:v>
      </x:c>
    </x:row>
    <x:row r="122">
      <x:c r="A122" s="43" t="str">
        <x:v>Gemini</x:v>
      </x:c>
      <x:c r="B122" s="43" t="str">
        <x:v>https://www.gemini.com/credit-card</x:v>
      </x:c>
      <x:c r="C122" s="43" t="str">
        <x:v>https://www.gemini.com/legal/credit-card-agreement</x:v>
      </x:c>
      <x:c r="D122" s="43" t="str">
        <x:v>Official Gemini credit card and legal pages.</x:v>
      </x:c>
      <x:c r="E122" s="43" t="str">
        <x:v>Rewards are crypto-denominated; verify availability and issuer disclosures.</x:v>
      </x:c>
    </x:row>
    <x:row r="123">
      <x:c r="A123" s="43" t="str">
        <x:v>Robinhood</x:v>
      </x:c>
      <x:c r="B123" s="43" t="str">
        <x:v>https://robinhood.com/creditcard/</x:v>
      </x:c>
      <x:c r="C123" s="43" t="str">
        <x:v>https://robinhood.com/us/en/support/articles/robinhood-gold-card/</x:v>
      </x:c>
      <x:c r="D123" s="43" t="str">
        <x:v>Official Robinhood Gold Card and support pages.</x:v>
      </x:c>
      <x:c r="E123" s="43" t="str">
        <x:v>Gold membership may be required; verify public waitlist/offer status.</x:v>
      </x:c>
    </x:row>
    <x:row r="124">
      <x:c r="A124" s="43" t="str">
        <x:v>eBay</x:v>
      </x:c>
      <x:c r="B124" s="43" t="str">
        <x:v>https://www.ebaymastercard.syf.com/</x:v>
      </x:c>
      <x:c r="C124" s="43" t="str">
        <x:v>https://pages.ebay.com/creditcard/</x:v>
      </x:c>
      <x:c r="D124" s="43" t="str">
        <x:v>Official eBay Mastercard Synchrony microsite and eBay card page.</x:v>
      </x:c>
      <x:c r="E124" s="43" t="str">
        <x:v>Include because downstream agents may need to identify whether offers remain active or were recently discontinued.</x:v>
      </x:c>
    </x:row>
    <x:row r="125">
      <x:c r="A125" s="43" t="str">
        <x:v>Walgreens</x:v>
      </x:c>
      <x:c r="B125" s="43" t="str">
        <x:v>https://www.walgreens.com/topic/promotion/mywalgreens-credit-card.jsp</x:v>
      </x:c>
      <x:c r="C125" s="43" t="str">
        <x:v>https://www.synchrony.com/financing/walgreens</x:v>
      </x:c>
      <x:c r="D125" s="43" t="str">
        <x:v>Official Walgreens and Synchrony card pages.</x:v>
      </x:c>
      <x:c r="E125" s="43" t="str">
        <x:v>Verify whether new applications are open.</x:v>
      </x:c>
    </x:row>
    <x:row r="126">
      <x:c r="A126" s="43" t="str">
        <x:v>PlayStation</x:v>
      </x:c>
      <x:c r="B126" s="43" t="str">
        <x:v>https://www.playstation.com/en-us/playstation-visa-credit-card/</x:v>
      </x:c>
      <x:c r="C126" s="43" t="str">
        <x:v>https://d.comenity.net/ac/playstationvisa/public/home</x:v>
      </x:c>
      <x:c r="D126" s="43" t="str">
        <x:v>Official PlayStation and Comenity card pages.</x:v>
      </x:c>
      <x:c r="E126" s="43" t="str"/>
    </x:row>
    <x:row r="127">
      <x:c r="A127" s="43" t="str">
        <x:v>NFL Extra Points</x:v>
      </x:c>
      <x:c r="B127" s="43" t="str">
        <x:v>https://www.nflextrapoints.com/</x:v>
      </x:c>
      <x:c r="C127" s="43" t="str">
        <x:v>https://d.comenity.net/nflextrapointsvisa/</x:v>
      </x:c>
      <x:c r="D127" s="43" t="str">
        <x:v>Official NFL Extra Points and Comenity card pages.</x:v>
      </x:c>
      <x:c r="E127" s="43" t="str"/>
    </x:row>
  </x:sheetData>
  <x:pageMargins left="0.7" right="0.7" top="0.75" bottom="0.75" header="0.3" footer="0.3"/>
  <x:tableParts count="1">
    <x:tablePart xmlns:r="http://schemas.openxmlformats.org/officeDocument/2006/relationships" r:id="R8b1de8f406554e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2.5" hidden="0" customWidth="1"/>
    <x:col min="3" max="3" width="53.75" hidden="0" customWidth="1"/>
    <x:col min="4" max="4" width="27.5" hidden="0" customWidth="1"/>
    <x:col min="5" max="5" width="12.5" hidden="0" customWidth="1"/>
  </x:cols>
  <x:sheetData>
    <x:row r="1">
      <x:c r="A1" s="24" t="str">
        <x:v>Institution</x:v>
      </x:c>
      <x:c r="B1" s="24" t="str">
        <x:v>URL</x:v>
      </x:c>
      <x:c r="C1" s="24" t="str">
        <x:v>Observed Page Title</x:v>
      </x:c>
      <x:c r="D1" s="24" t="str">
        <x:v>Browser Research Note</x:v>
      </x:c>
      <x:c r="E1" s="24" t="str">
        <x:v>Retrieved</x:v>
      </x:c>
    </x:row>
    <x:row r="2">
      <x:c r="A2" s="43" t="str">
        <x:v>JPMorgan Chase</x:v>
      </x:c>
      <x:c r="B2" s="43" t="str">
        <x:v>https://creditcards.chase.com/</x:v>
      </x:c>
      <x:c r="C2" s="43" t="str">
        <x:v>Credit Cards - Compare Credit Card Offers and Apply Online | Chase</x:v>
      </x:c>
      <x:c r="D2" s="43" t="str">
        <x:v>Opened in in-app browser</x:v>
      </x:c>
      <x:c r="E2" s="43" t="str">
        <x:v>2026-05-30</x:v>
      </x:c>
    </x:row>
    <x:row r="3">
      <x:c r="A3" s="43" t="str">
        <x:v>American Express</x:v>
      </x:c>
      <x:c r="B3" s="43" t="str">
        <x:v>https://www.americanexpress.com/us/credit-cards/</x:v>
      </x:c>
      <x:c r="C3" s="43" t="str">
        <x:v>Credit Cards - Compare &amp; Apply Online - American Express</x:v>
      </x:c>
      <x:c r="D3" s="43" t="str">
        <x:v>Opened in in-app browser</x:v>
      </x:c>
      <x:c r="E3" s="43" t="str">
        <x:v>2026-05-30</x:v>
      </x:c>
    </x:row>
    <x:row r="4">
      <x:c r="A4" s="43" t="str">
        <x:v>Citi</x:v>
      </x:c>
      <x:c r="B4" s="43" t="str">
        <x:v>https://www.citi.com/credit-cards/view-all-credit-cards?intc=old_to_new_vac_202508</x:v>
      </x:c>
      <x:c r="C4" s="43" t="str">
        <x:v>Compare Credit Cards | View All Credit Cards | Citi.com</x:v>
      </x:c>
      <x:c r="D4" s="43" t="str">
        <x:v>Opened in in-app browser</x:v>
      </x:c>
      <x:c r="E4" s="43" t="str">
        <x:v>2026-05-30</x:v>
      </x:c>
    </x:row>
    <x:row r="5">
      <x:c r="A5" s="43" t="str">
        <x:v>Barclays US</x:v>
      </x:c>
      <x:c r="B5" s="43" t="str">
        <x:v>https://cards.barclaycardus.com/</x:v>
      </x:c>
      <x:c r="C5" s="43" t="str">
        <x:v>Welcome to Barclays US</x:v>
      </x:c>
      <x:c r="D5" s="43" t="str">
        <x:v>Opened in in-app browser</x:v>
      </x:c>
      <x:c r="E5" s="43" t="str">
        <x:v>2026-05-30</x:v>
      </x:c>
    </x:row>
    <x:row r="6">
      <x:c r="A6" s="43" t="str">
        <x:v>Capital One</x:v>
      </x:c>
      <x:c r="B6" s="43" t="str">
        <x:v>https://www.capitalone.com/credit-cards/</x:v>
      </x:c>
      <x:c r="C6" s="43" t="str">
        <x:v>Capital One Credit Cards</x:v>
      </x:c>
      <x:c r="D6" s="43" t="str">
        <x:v>Opened in in-app browser</x:v>
      </x:c>
      <x:c r="E6" s="43" t="str">
        <x:v>2026-05-30</x:v>
      </x:c>
    </x:row>
    <x:row r="7">
      <x:c r="A7" s="43" t="str">
        <x:v>Bank of America</x:v>
      </x:c>
      <x:c r="B7" s="43" t="str">
        <x:v>https://www.bankofamerica.com/credit-cards/</x:v>
      </x:c>
      <x:c r="C7" s="43" t="str">
        <x:v>Credit Cards: Find &amp; Apply for a Credit Card Online at Bank of America</x:v>
      </x:c>
      <x:c r="D7" s="43" t="str">
        <x:v>Opened in in-app browser</x:v>
      </x:c>
      <x:c r="E7" s="43" t="str">
        <x:v>2026-05-30</x:v>
      </x:c>
    </x:row>
    <x:row r="8">
      <x:c r="A8" s="43" t="str">
        <x:v>Wells Fargo</x:v>
      </x:c>
      <x:c r="B8" s="43" t="str">
        <x:v>https://creditcards.wellsfargo.com/</x:v>
      </x:c>
      <x:c r="C8" s="43" t="str">
        <x:v>Wells Fargo Visa® Credit Cards and Mastercard® | Wells Fargo</x:v>
      </x:c>
      <x:c r="D8" s="43" t="str">
        <x:v>Opened in in-app browser</x:v>
      </x:c>
      <x:c r="E8" s="43" t="str">
        <x:v>2026-05-30</x:v>
      </x:c>
    </x:row>
    <x:row r="9">
      <x:c r="A9" s="43" t="str">
        <x:v>U.S. Bank</x:v>
      </x:c>
      <x:c r="B9" s="43" t="str">
        <x:v>https://www.usbank.com/credit-cards.html</x:v>
      </x:c>
      <x:c r="C9" s="43" t="str">
        <x:v>Credit Cards | Apply and Compare Credit Card Offers | U.S. Bank</x:v>
      </x:c>
      <x:c r="D9" s="43" t="str">
        <x:v>Opened in in-app browser</x:v>
      </x:c>
      <x:c r="E9" s="43" t="str">
        <x:v>2026-05-30</x:v>
      </x:c>
    </x:row>
    <x:row r="10">
      <x:c r="A10" s="43" t="str">
        <x:v>Discover</x:v>
      </x:c>
      <x:c r="B10" s="43" t="str">
        <x:v>https://www.discover.com/credit-cards/</x:v>
      </x:c>
      <x:c r="C10" s="43" t="str">
        <x:v>Apply for a Credit Card Online from Discover</x:v>
      </x:c>
      <x:c r="D10" s="43" t="str">
        <x:v>Opened in in-app browser</x:v>
      </x:c>
      <x:c r="E10" s="43" t="str">
        <x:v>2026-05-30</x:v>
      </x:c>
    </x:row>
    <x:row r="11">
      <x:c r="A11" s="43" t="str">
        <x:v>Synchrony</x:v>
      </x:c>
      <x:c r="B11" s="43" t="str">
        <x:v>https://www.synchrony.com/financing</x:v>
      </x:c>
      <x:c r="C11" s="43" t="str">
        <x:v>Synchrony Financing Options for Consumers - Synchrony</x:v>
      </x:c>
      <x:c r="D11" s="43" t="str">
        <x:v>Opened in in-app browser</x:v>
      </x:c>
      <x:c r="E11" s="43" t="str">
        <x:v>2026-05-30</x:v>
      </x:c>
    </x:row>
    <x:row r="12">
      <x:c r="A12" s="43" t="str">
        <x:v>FNBO</x:v>
      </x:c>
      <x:c r="B12" s="43" t="str">
        <x:v>https://www.fnbo.com/personal-banking/credit-cards</x:v>
      </x:c>
      <x:c r="C12" s="43" t="str">
        <x:v>Personal Credit Cards | FNBO</x:v>
      </x:c>
      <x:c r="D12" s="43" t="str">
        <x:v>Opened in in-app browser</x:v>
      </x:c>
      <x:c r="E12" s="43" t="str">
        <x:v>2026-05-30</x:v>
      </x:c>
    </x:row>
    <x:row r="13">
      <x:c r="A13" s="43" t="str">
        <x:v>TD Bank</x:v>
      </x:c>
      <x:c r="B13" s="43" t="str">
        <x:v>https://www.td.com/us/en/personal-banking/credit-cards</x:v>
      </x:c>
      <x:c r="C13" s="43" t="str">
        <x:v>Explore TD Bank Credit Cards &amp; Apply Online | TD</x:v>
      </x:c>
      <x:c r="D13" s="43" t="str">
        <x:v>Opened in in-app browser</x:v>
      </x:c>
      <x:c r="E13" s="43" t="str">
        <x:v>2026-05-30</x:v>
      </x:c>
    </x:row>
  </x:sheetData>
  <x:pageMargins left="0.7" right="0.7" top="0.75" bottom="0.75" header="0.3" footer="0.3"/>
  <x:tableParts count="1">
    <x:tablePart xmlns:r="http://schemas.openxmlformats.org/officeDocument/2006/relationships" r:id="Rf4ff6cf39d5f42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02.5" hidden="0" customWidth="1"/>
  </x:cols>
  <x:sheetData>
    <x:row r="1">
      <x:c r="A1" s="54" t="str">
        <x:v>Topic</x:v>
      </x:c>
      <x:c r="B1" s="54" t="str">
        <x:v>Note</x:v>
      </x:c>
    </x:row>
    <x:row r="2">
      <x:c r="A2" s="43" t="str">
        <x:v>Purpose</x:v>
      </x:c>
      <x:c r="B2" s="43" t="str">
        <x:v>This workbook is a target/source directory for downstream agents. It does not research or validate individual credit card offers, welcome bonuses, APRs, fees, or eligibility terms.</x:v>
      </x:c>
    </x:row>
    <x:row r="3">
      <x:c r="A3" s="43" t="str">
        <x:v>Institution definition</x:v>
      </x:c>
      <x:c r="B3" s="43" t="str">
        <x:v>Rows include bank issuers, card platforms, airline and hotel loyalty programs, retailers, grocery/warehouse clubs, travel brands, fintech brands, and other organizations whose rewards credit cards are publicly marketed through an issuer or partner page.</x:v>
      </x:c>
    </x:row>
    <x:row r="4">
      <x:c r="A4" s="43" t="str">
        <x:v>Past-year standard</x:v>
      </x:c>
      <x:c r="B4" s="43" t="str">
        <x:v>Current public card pages were treated as satisfying the past-year criterion. Rows labeled past-year/transition need follow-up to determine whether new offers are still active.</x:v>
      </x:c>
    </x:row>
    <x:row r="5">
      <x:c r="A5" s="43" t="str">
        <x:v>Source preference</x:v>
      </x:c>
      <x:c r="B5" s="43" t="str">
        <x:v>Official institution, issuer, loyalty-program, or partner-card pages were prioritized. Third-party rankings were not used as primary source rows.</x:v>
      </x:c>
    </x:row>
    <x:row r="6">
      <x:c r="A6" s="43" t="str">
        <x:v>Offer URL usage</x:v>
      </x:c>
      <x:c r="B6" s="43" t="str">
        <x:v>The Offer Research URL column points to the best starting page for another agent. The Alternate URL provides an issuer mirror, partner page, or servicing/application path when useful.</x:v>
      </x:c>
    </x:row>
    <x:row r="7">
      <x:c r="A7" s="43" t="str">
        <x:v>Not exhaustive</x:v>
      </x:c>
      <x:c r="B7" s="43" t="str">
        <x:v>The list is broad and representative across major U.S. public rewards-card ecosystems. Store-card catalogs at Synchrony, Bread/Comenity, Citi Retail Services, and Elan are especially large and may contain additional regional or niche cards.</x:v>
      </x:c>
    </x:row>
    <x:row r="8">
      <x:c r="A8" s="43" t="str">
        <x:v>Browser checks</x:v>
      </x:c>
      <x:c r="B8" s="43" t="str">
        <x:v>The Browser Checks sheet records high-value issuer hubs opened in the in-app browser during research. Additional official URLs were compiled from issuer and institution pages/search results and should be re-opened before offer scraping.</x:v>
      </x:c>
    </x:row>
    <x:row r="9">
      <x:c r="A9" s="43" t="str">
        <x:v>Safety</x:v>
      </x:c>
      <x:c r="B9" s="43" t="str">
        <x:v>No login, application submission, prequalification submission, or personal data entry was performed.</x:v>
      </x:c>
    </x:row>
  </x:sheetData>
  <x:pageMargins left="0.7" right="0.7" top="0.75" bottom="0.75" header="0.3" footer="0.3"/>
  <x:tableParts count="1">
    <x:tablePart xmlns:r="http://schemas.openxmlformats.org/officeDocument/2006/relationships" r:id="Rc2008994747347c9"/>
  </x:tableParts>
</x:worksheet>
</file>